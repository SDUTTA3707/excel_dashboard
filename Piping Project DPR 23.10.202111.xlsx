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16815" windowHeight="7350" tabRatio="764"/>
  </bookViews>
  <sheets>
    <sheet name="Progress" sheetId="2" r:id="rId1"/>
    <sheet name=" Manpower &amp; Machinery" sheetId="3" r:id="rId2"/>
    <sheet name="Pipe Rack Status" sheetId="4" r:id="rId3"/>
    <sheet name="Pipe Rack Constraint" sheetId="5" r:id="rId4"/>
    <sheet name="Piping Constraint" sheetId="9" r:id="rId5"/>
    <sheet name="Hindrance Register" sheetId="10" r:id="rId6"/>
    <sheet name="Summary" sheetId="11" r:id="rId7"/>
    <sheet name="Sheet1" sheetId="12" r:id="rId8"/>
  </sheets>
  <externalReferences>
    <externalReference r:id="rId9"/>
    <externalReference r:id="rId10"/>
  </externalReferences>
  <definedNames>
    <definedName name="_Fill" localSheetId="1" hidden="1">#REF!</definedName>
    <definedName name="_Fill" hidden="1">#REF!</definedName>
    <definedName name="_xlnm._FilterDatabase" localSheetId="1" hidden="1">' Manpower &amp; Machinery'!$A$34:$WVR$52</definedName>
    <definedName name="_xlnm._FilterDatabase" localSheetId="2" hidden="1">'Pipe Rack Status'!$A$3:$P$56</definedName>
    <definedName name="_xlnm.Database" localSheetId="1">#REF!</definedName>
    <definedName name="_xlnm.Database">#REF!</definedName>
    <definedName name="LEGENDS">[1]Sheet4!$A$6:$A$29</definedName>
    <definedName name="MEAU">[2]PL1!$A$1:$L$178</definedName>
    <definedName name="_xlnm.Print_Area" localSheetId="1">' Manpower &amp; Machinery'!$A$1:$H$53</definedName>
    <definedName name="_xlnm.Print_Area" localSheetId="0">Progress!$A$1:$L$110</definedName>
    <definedName name="_xlnm.Print_Titles" localSheetId="4">'Piping Constraint'!$1:$3</definedName>
    <definedName name="_xlnm.Print_Titles" localSheetId="0">Progress!$1:$6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2" i="3" l="1"/>
  <c r="I21" i="2" l="1"/>
  <c r="L3" i="2" l="1"/>
  <c r="R64" i="2"/>
  <c r="Q64" i="2"/>
  <c r="P64" i="2"/>
  <c r="P66" i="2"/>
  <c r="E52" i="3" l="1"/>
  <c r="F52" i="3" l="1"/>
  <c r="G52" i="3"/>
  <c r="J100" i="2" l="1"/>
  <c r="I10" i="2"/>
  <c r="J10" i="2" s="1"/>
  <c r="H59" i="3"/>
  <c r="H58" i="3"/>
  <c r="H57" i="3"/>
  <c r="H56" i="3"/>
  <c r="H55" i="3"/>
  <c r="H35" i="3"/>
  <c r="H36" i="3"/>
  <c r="H37" i="3"/>
  <c r="H38" i="3"/>
  <c r="H39" i="3"/>
  <c r="H40" i="3"/>
  <c r="H41" i="3"/>
  <c r="H42" i="3"/>
  <c r="H43" i="3"/>
  <c r="H44" i="3"/>
  <c r="H45" i="3"/>
  <c r="H46" i="3"/>
  <c r="H47" i="3"/>
  <c r="H48" i="3"/>
  <c r="H49" i="3"/>
  <c r="H50" i="3"/>
  <c r="H51" i="3"/>
  <c r="H34" i="3"/>
  <c r="H10" i="3"/>
  <c r="H11" i="3"/>
  <c r="H12" i="3"/>
  <c r="H13" i="3"/>
  <c r="H14" i="3"/>
  <c r="H15" i="3"/>
  <c r="H16" i="3"/>
  <c r="H17" i="3"/>
  <c r="H18" i="3"/>
  <c r="H19" i="3"/>
  <c r="H20" i="3"/>
  <c r="H21" i="3"/>
  <c r="H22" i="3"/>
  <c r="H23" i="3"/>
  <c r="H24" i="3"/>
  <c r="H25" i="3"/>
  <c r="H26" i="3"/>
  <c r="H27" i="3"/>
  <c r="H28" i="3"/>
  <c r="H29" i="3"/>
  <c r="H30" i="3"/>
  <c r="H31" i="3"/>
  <c r="H9" i="3"/>
  <c r="H32" i="3" l="1"/>
  <c r="H52" i="3"/>
  <c r="K9" i="2" l="1"/>
  <c r="I67" i="2" l="1"/>
  <c r="J67" i="2" s="1"/>
  <c r="N65" i="2" s="1"/>
  <c r="O65" i="2" s="1"/>
  <c r="P67" i="2" l="1"/>
  <c r="K67" i="2"/>
  <c r="K71" i="2"/>
  <c r="J75" i="2"/>
  <c r="K75" i="2" s="1"/>
  <c r="M5" i="11" l="1"/>
  <c r="L5" i="11"/>
  <c r="L6" i="11"/>
  <c r="I68" i="2"/>
  <c r="J68" i="2" s="1"/>
  <c r="M71" i="2" s="1"/>
  <c r="P68" i="2" l="1"/>
  <c r="K68" i="2"/>
  <c r="M7" i="11"/>
  <c r="M68" i="2"/>
  <c r="M6" i="11"/>
  <c r="L7" i="11" l="1"/>
  <c r="M67" i="2"/>
  <c r="H5" i="11"/>
  <c r="H4" i="11"/>
  <c r="H3" i="11"/>
  <c r="J3" i="11" l="1"/>
  <c r="G3" i="11"/>
  <c r="F3" i="11"/>
  <c r="E3" i="11"/>
  <c r="D3" i="11"/>
  <c r="C3" i="11"/>
  <c r="B3" i="11"/>
  <c r="B5" i="11" l="1"/>
  <c r="B4" i="11"/>
  <c r="J4" i="11" l="1"/>
  <c r="G4" i="11"/>
  <c r="F4" i="11"/>
  <c r="E4" i="11"/>
  <c r="D4" i="11"/>
  <c r="C4" i="11"/>
  <c r="J5" i="11"/>
  <c r="G5" i="11"/>
  <c r="F5" i="11"/>
  <c r="E5" i="11"/>
  <c r="D5" i="11"/>
  <c r="C5" i="11"/>
  <c r="I22" i="2" l="1"/>
  <c r="E6" i="11" l="1"/>
  <c r="J22" i="2"/>
  <c r="K100" i="2"/>
  <c r="K27" i="2" l="1"/>
  <c r="N54" i="4" l="1"/>
  <c r="J55" i="4" l="1"/>
  <c r="I55" i="4"/>
  <c r="H55" i="4"/>
  <c r="G55" i="4"/>
  <c r="E55" i="4"/>
  <c r="D55" i="4"/>
  <c r="K54" i="4"/>
  <c r="J54" i="4"/>
  <c r="H54" i="4"/>
  <c r="G54" i="4"/>
  <c r="E54" i="4"/>
  <c r="D54" i="4"/>
  <c r="F53" i="4"/>
  <c r="I52" i="4"/>
  <c r="F52" i="4"/>
  <c r="F51" i="4"/>
  <c r="I50" i="4"/>
  <c r="F50" i="4"/>
  <c r="F49" i="4"/>
  <c r="I48" i="4"/>
  <c r="F48" i="4"/>
  <c r="F47" i="4"/>
  <c r="I46" i="4"/>
  <c r="F46" i="4"/>
  <c r="F45" i="4"/>
  <c r="I44" i="4"/>
  <c r="F44" i="4"/>
  <c r="F43" i="4"/>
  <c r="I42" i="4"/>
  <c r="F42" i="4"/>
  <c r="F41" i="4"/>
  <c r="I40" i="4"/>
  <c r="F40" i="4"/>
  <c r="F39" i="4"/>
  <c r="I38" i="4"/>
  <c r="F38" i="4"/>
  <c r="F37" i="4"/>
  <c r="I36" i="4"/>
  <c r="F36" i="4"/>
  <c r="F35" i="4"/>
  <c r="I34" i="4"/>
  <c r="F34" i="4"/>
  <c r="F33" i="4"/>
  <c r="I32" i="4"/>
  <c r="F32" i="4"/>
  <c r="F31" i="4"/>
  <c r="I30" i="4"/>
  <c r="F30" i="4"/>
  <c r="F29" i="4"/>
  <c r="I28" i="4"/>
  <c r="F28" i="4"/>
  <c r="F27" i="4"/>
  <c r="I26" i="4"/>
  <c r="F26" i="4"/>
  <c r="F25" i="4"/>
  <c r="I24" i="4"/>
  <c r="F24" i="4"/>
  <c r="F23" i="4"/>
  <c r="I22" i="4"/>
  <c r="F22" i="4"/>
  <c r="F21" i="4"/>
  <c r="I20" i="4"/>
  <c r="F20" i="4"/>
  <c r="F19" i="4"/>
  <c r="I18" i="4"/>
  <c r="F18" i="4"/>
  <c r="F17" i="4"/>
  <c r="I16" i="4"/>
  <c r="F16" i="4"/>
  <c r="F15" i="4"/>
  <c r="I14" i="4"/>
  <c r="F14" i="4"/>
  <c r="F13" i="4"/>
  <c r="I12" i="4"/>
  <c r="F12" i="4"/>
  <c r="F11" i="4"/>
  <c r="I10" i="4"/>
  <c r="F10" i="4"/>
  <c r="F9" i="4"/>
  <c r="I8" i="4"/>
  <c r="F8" i="4"/>
  <c r="F7" i="4"/>
  <c r="I6" i="4"/>
  <c r="F6" i="4"/>
  <c r="F5" i="4"/>
  <c r="I4" i="4"/>
  <c r="F4" i="4"/>
  <c r="F55" i="4" l="1"/>
  <c r="F54" i="4"/>
  <c r="I54" i="4"/>
  <c r="A5" i="9" l="1"/>
  <c r="A6" i="9" s="1"/>
  <c r="A7" i="9" s="1"/>
  <c r="A8" i="9" s="1"/>
  <c r="A9" i="9" s="1"/>
  <c r="E8" i="11" l="1"/>
  <c r="K8" i="11"/>
  <c r="C52" i="3"/>
  <c r="D32" i="3"/>
  <c r="I8" i="11" s="1"/>
  <c r="C32" i="3"/>
  <c r="C8" i="11"/>
  <c r="O4" i="11" l="1"/>
  <c r="N4" i="11"/>
  <c r="N6" i="11" l="1"/>
  <c r="A6" i="5"/>
  <c r="A7" i="5" s="1"/>
  <c r="A13" i="5" l="1"/>
  <c r="A14" i="5" s="1"/>
  <c r="A15" i="5" s="1"/>
  <c r="A16" i="5" s="1"/>
  <c r="A17" i="5" s="1"/>
  <c r="A18" i="5" s="1"/>
  <c r="A19" i="5" s="1"/>
  <c r="A20" i="5" s="1"/>
  <c r="A21" i="5" s="1"/>
  <c r="A22" i="5" s="1"/>
  <c r="A23" i="5" s="1"/>
  <c r="A24" i="5" s="1"/>
  <c r="A25" i="5" s="1"/>
  <c r="A26" i="5" s="1"/>
  <c r="A27" i="5" s="1"/>
  <c r="A28" i="5" s="1"/>
  <c r="A8" i="5"/>
  <c r="A9" i="5" s="1"/>
  <c r="A10" i="5" s="1"/>
  <c r="A11" i="5" s="1"/>
  <c r="A12" i="5" s="1"/>
  <c r="I26" i="2"/>
  <c r="G6" i="11" l="1"/>
  <c r="J26" i="2"/>
  <c r="A30" i="5"/>
  <c r="A31" i="5" s="1"/>
  <c r="A32" i="5" s="1"/>
  <c r="A33" i="5" s="1"/>
  <c r="A34" i="5" s="1"/>
  <c r="A35" i="5" s="1"/>
  <c r="A36" i="5" s="1"/>
  <c r="A37" i="5" s="1"/>
  <c r="A38" i="5" s="1"/>
  <c r="A39" i="5" s="1"/>
  <c r="A40" i="5" s="1"/>
  <c r="A41" i="5" s="1"/>
  <c r="A42" i="5" s="1"/>
  <c r="A43" i="5" s="1"/>
  <c r="A44" i="5" s="1"/>
  <c r="A45" i="5" s="1"/>
  <c r="A46" i="5" s="1"/>
  <c r="A47" i="5" s="1"/>
  <c r="A48" i="5" s="1"/>
  <c r="A29" i="5"/>
  <c r="I106" i="2"/>
  <c r="J106" i="2" s="1"/>
  <c r="K106" i="2" s="1"/>
  <c r="I105" i="2"/>
  <c r="J105" i="2" s="1"/>
  <c r="K105" i="2" s="1"/>
  <c r="I104" i="2"/>
  <c r="J104" i="2" s="1"/>
  <c r="K104" i="2" s="1"/>
  <c r="I103" i="2"/>
  <c r="K103" i="2" s="1"/>
  <c r="I102" i="2"/>
  <c r="J102" i="2" s="1"/>
  <c r="K102" i="2" s="1"/>
  <c r="I101" i="2"/>
  <c r="J101" i="2" s="1"/>
  <c r="K101" i="2" s="1"/>
  <c r="I99" i="2"/>
  <c r="J99" i="2" s="1"/>
  <c r="K99" i="2" s="1"/>
  <c r="I98" i="2"/>
  <c r="J98" i="2" s="1"/>
  <c r="K98" i="2" s="1"/>
  <c r="I95" i="2"/>
  <c r="J95" i="2" s="1"/>
  <c r="K95" i="2" s="1"/>
  <c r="I94" i="2"/>
  <c r="J94" i="2" s="1"/>
  <c r="K94" i="2" s="1"/>
  <c r="I93" i="2"/>
  <c r="J93" i="2" s="1"/>
  <c r="K93" i="2" s="1"/>
  <c r="I92" i="2"/>
  <c r="J92" i="2" s="1"/>
  <c r="K92" i="2" s="1"/>
  <c r="I91" i="2"/>
  <c r="J91" i="2" s="1"/>
  <c r="K91" i="2" s="1"/>
  <c r="I90" i="2"/>
  <c r="J90" i="2" s="1"/>
  <c r="K90" i="2" s="1"/>
  <c r="I89" i="2"/>
  <c r="J89" i="2" s="1"/>
  <c r="K89" i="2" s="1"/>
  <c r="I88" i="2"/>
  <c r="J88" i="2" s="1"/>
  <c r="K88" i="2" s="1"/>
  <c r="I87" i="2"/>
  <c r="J87" i="2" s="1"/>
  <c r="K87" i="2" s="1"/>
  <c r="I86" i="2"/>
  <c r="J86" i="2" s="1"/>
  <c r="K86" i="2" s="1"/>
  <c r="I85" i="2"/>
  <c r="J85" i="2" s="1"/>
  <c r="K85" i="2" s="1"/>
  <c r="I84" i="2"/>
  <c r="J84" i="2" s="1"/>
  <c r="K84" i="2" s="1"/>
  <c r="I83" i="2"/>
  <c r="J83" i="2" s="1"/>
  <c r="K83" i="2" s="1"/>
  <c r="I82" i="2"/>
  <c r="J82" i="2" s="1"/>
  <c r="K82" i="2" s="1"/>
  <c r="I81" i="2"/>
  <c r="J81" i="2" s="1"/>
  <c r="K81" i="2" s="1"/>
  <c r="I80" i="2"/>
  <c r="J80" i="2" s="1"/>
  <c r="K80" i="2" s="1"/>
  <c r="I79" i="2"/>
  <c r="J79" i="2" s="1"/>
  <c r="K79" i="2" s="1"/>
  <c r="I78" i="2"/>
  <c r="J78" i="2" s="1"/>
  <c r="K78" i="2" s="1"/>
  <c r="I77" i="2"/>
  <c r="J77" i="2" s="1"/>
  <c r="K77" i="2" s="1"/>
  <c r="I76" i="2"/>
  <c r="J76" i="2" s="1"/>
  <c r="K76" i="2" s="1"/>
  <c r="I74" i="2"/>
  <c r="J74" i="2" s="1"/>
  <c r="K74" i="2" s="1"/>
  <c r="I73" i="2"/>
  <c r="J73" i="2" s="1"/>
  <c r="K73" i="2" s="1"/>
  <c r="I72" i="2"/>
  <c r="K72" i="2" s="1"/>
  <c r="I70" i="2"/>
  <c r="J70" i="2" s="1"/>
  <c r="K70" i="2" s="1"/>
  <c r="I69" i="2"/>
  <c r="K69" i="2" s="1"/>
  <c r="I66" i="2"/>
  <c r="I65" i="2"/>
  <c r="J65" i="2" s="1"/>
  <c r="K65" i="2" s="1"/>
  <c r="I64" i="2"/>
  <c r="I63" i="2"/>
  <c r="J63" i="2" s="1"/>
  <c r="K63" i="2" s="1"/>
  <c r="I60" i="2"/>
  <c r="J60" i="2" s="1"/>
  <c r="K60" i="2" s="1"/>
  <c r="I59" i="2"/>
  <c r="J59" i="2" s="1"/>
  <c r="K59" i="2" s="1"/>
  <c r="I58" i="2"/>
  <c r="J58" i="2" s="1"/>
  <c r="K58" i="2" s="1"/>
  <c r="I57" i="2"/>
  <c r="J57" i="2" s="1"/>
  <c r="K57" i="2" s="1"/>
  <c r="I56" i="2"/>
  <c r="J56" i="2" s="1"/>
  <c r="K56" i="2" s="1"/>
  <c r="I55" i="2"/>
  <c r="J55" i="2" s="1"/>
  <c r="K55" i="2" s="1"/>
  <c r="I54" i="2"/>
  <c r="J54" i="2" s="1"/>
  <c r="K54" i="2" s="1"/>
  <c r="I53" i="2"/>
  <c r="J53" i="2" s="1"/>
  <c r="K53" i="2" s="1"/>
  <c r="I52" i="2"/>
  <c r="J52" i="2" s="1"/>
  <c r="K52" i="2" s="1"/>
  <c r="I51" i="2"/>
  <c r="J51" i="2" s="1"/>
  <c r="K51" i="2" s="1"/>
  <c r="I50" i="2"/>
  <c r="J50" i="2" s="1"/>
  <c r="K50" i="2" s="1"/>
  <c r="I49" i="2"/>
  <c r="J49" i="2" s="1"/>
  <c r="K49" i="2" s="1"/>
  <c r="I48" i="2"/>
  <c r="J48" i="2" s="1"/>
  <c r="K48" i="2" s="1"/>
  <c r="I47" i="2"/>
  <c r="J47" i="2" s="1"/>
  <c r="K47" i="2" s="1"/>
  <c r="I46" i="2"/>
  <c r="J46" i="2" s="1"/>
  <c r="K46" i="2" s="1"/>
  <c r="I45" i="2"/>
  <c r="J45" i="2" s="1"/>
  <c r="K45" i="2" s="1"/>
  <c r="I44" i="2"/>
  <c r="J44" i="2" s="1"/>
  <c r="K44" i="2" s="1"/>
  <c r="I43" i="2"/>
  <c r="K43" i="2" s="1"/>
  <c r="I42" i="2"/>
  <c r="J42" i="2" s="1"/>
  <c r="K42" i="2" s="1"/>
  <c r="I41" i="2"/>
  <c r="K41" i="2" s="1"/>
  <c r="I40" i="2"/>
  <c r="J40" i="2" s="1"/>
  <c r="K40" i="2" s="1"/>
  <c r="K39" i="2"/>
  <c r="I38" i="2"/>
  <c r="J38" i="2" s="1"/>
  <c r="K38" i="2" s="1"/>
  <c r="I37" i="2"/>
  <c r="J37" i="2" s="1"/>
  <c r="K37" i="2" s="1"/>
  <c r="I36" i="2"/>
  <c r="J36" i="2" s="1"/>
  <c r="K36" i="2" s="1"/>
  <c r="I35" i="2"/>
  <c r="J35" i="2" s="1"/>
  <c r="K35" i="2" s="1"/>
  <c r="I34" i="2"/>
  <c r="J34" i="2" s="1"/>
  <c r="K34" i="2" s="1"/>
  <c r="I33" i="2"/>
  <c r="J33" i="2" s="1"/>
  <c r="K33" i="2" s="1"/>
  <c r="I32" i="2"/>
  <c r="J32" i="2" s="1"/>
  <c r="K32" i="2" s="1"/>
  <c r="I31" i="2"/>
  <c r="K31" i="2" s="1"/>
  <c r="I30" i="2"/>
  <c r="J30" i="2" s="1"/>
  <c r="K30" i="2" s="1"/>
  <c r="I29" i="2"/>
  <c r="J29" i="2" s="1"/>
  <c r="K29" i="2" s="1"/>
  <c r="I28" i="2"/>
  <c r="J28" i="2" s="1"/>
  <c r="K28" i="2" s="1"/>
  <c r="I25" i="2"/>
  <c r="J25" i="2" s="1"/>
  <c r="K25" i="2" s="1"/>
  <c r="I24" i="2"/>
  <c r="K24" i="2" s="1"/>
  <c r="I23" i="2"/>
  <c r="M21" i="2"/>
  <c r="J21" i="2"/>
  <c r="K21" i="2" s="1"/>
  <c r="I20" i="2"/>
  <c r="J20" i="2" s="1"/>
  <c r="K20" i="2" s="1"/>
  <c r="I17" i="2"/>
  <c r="J17" i="2" s="1"/>
  <c r="K17" i="2" s="1"/>
  <c r="I16" i="2"/>
  <c r="J16" i="2" s="1"/>
  <c r="K16" i="2" s="1"/>
  <c r="I15" i="2"/>
  <c r="J15" i="2" s="1"/>
  <c r="K15" i="2" s="1"/>
  <c r="I14" i="2"/>
  <c r="J14" i="2" s="1"/>
  <c r="K14" i="2" s="1"/>
  <c r="I13" i="2"/>
  <c r="J13" i="2" s="1"/>
  <c r="I12" i="2"/>
  <c r="C6" i="11"/>
  <c r="I9" i="2"/>
  <c r="J6" i="11" l="1"/>
  <c r="J66" i="2"/>
  <c r="F6" i="11"/>
  <c r="J23" i="2"/>
  <c r="H6" i="11"/>
  <c r="B6" i="11"/>
  <c r="K26" i="2"/>
  <c r="G7" i="11"/>
  <c r="K22" i="2"/>
  <c r="E7" i="11"/>
  <c r="K13" i="2"/>
  <c r="K66" i="2" l="1"/>
  <c r="M70" i="2"/>
  <c r="N70" i="2" s="1"/>
  <c r="M66" i="2"/>
  <c r="N10" i="2"/>
  <c r="M10" i="2"/>
  <c r="H7" i="11"/>
  <c r="K64" i="2"/>
  <c r="B7" i="11"/>
  <c r="J7" i="11"/>
  <c r="K23" i="2"/>
  <c r="F7" i="11"/>
  <c r="K10" i="2"/>
  <c r="C7" i="11"/>
  <c r="I11" i="2"/>
  <c r="J11" i="2" s="1"/>
  <c r="D6" i="11" l="1"/>
  <c r="K11" i="2" l="1"/>
  <c r="D7" i="11"/>
</calcChain>
</file>

<file path=xl/sharedStrings.xml><?xml version="1.0" encoding="utf-8"?>
<sst xmlns="http://schemas.openxmlformats.org/spreadsheetml/2006/main" count="776" uniqueCount="548">
  <si>
    <t>TATA PROJECTS LIMITED</t>
  </si>
  <si>
    <t xml:space="preserve">                                                              PROJECT NAME: PIPING PROJECT (340092)</t>
  </si>
  <si>
    <t>Progress as on</t>
  </si>
  <si>
    <t xml:space="preserve">                                                        DAILY PROGRESS REPORT</t>
  </si>
  <si>
    <t>Report Date</t>
  </si>
  <si>
    <t xml:space="preserve"> </t>
  </si>
  <si>
    <t>S.No</t>
  </si>
  <si>
    <t>Description</t>
  </si>
  <si>
    <t>Unit</t>
  </si>
  <si>
    <t>Total Scope</t>
  </si>
  <si>
    <t>Progress upto previous month</t>
  </si>
  <si>
    <t>Planned for the month</t>
  </si>
  <si>
    <t>Progress For the Month</t>
  </si>
  <si>
    <t>Upto date progress</t>
  </si>
  <si>
    <t>Balance</t>
  </si>
  <si>
    <t>Remarks</t>
  </si>
  <si>
    <t>Till Yesterday</t>
  </si>
  <si>
    <t>Today</t>
  </si>
  <si>
    <t>Cumm.</t>
  </si>
  <si>
    <t>A</t>
  </si>
  <si>
    <t>Supply</t>
  </si>
  <si>
    <t>Mtr</t>
  </si>
  <si>
    <t>Blasting</t>
  </si>
  <si>
    <t>Painting (Primer)</t>
  </si>
  <si>
    <t>Flanges</t>
  </si>
  <si>
    <t>Nos</t>
  </si>
  <si>
    <t>Fittings</t>
  </si>
  <si>
    <t>Strainers</t>
  </si>
  <si>
    <t>Gaskets</t>
  </si>
  <si>
    <t>Fasteners</t>
  </si>
  <si>
    <t>Valves</t>
  </si>
  <si>
    <t>B</t>
  </si>
  <si>
    <t>Mechanical</t>
  </si>
  <si>
    <t>Fabrication of Pipe Specials</t>
  </si>
  <si>
    <t>CS-Fabrication of Pipe (Butt Weld) Thk&lt;=10 MM</t>
  </si>
  <si>
    <t>ID</t>
  </si>
  <si>
    <t>Fitup</t>
  </si>
  <si>
    <t>Welding</t>
  </si>
  <si>
    <t>CS-Fabrication of Pipe (Fillet Weld) Thk&lt;=10 MM</t>
  </si>
  <si>
    <t>IM</t>
  </si>
  <si>
    <t>SS-Fabrication of Pipe (Butt Weld) Thk&lt;=10 MM</t>
  </si>
  <si>
    <t>SS-Fabrication of Pipe (Fillet Weld) Thk&lt;=10 MM</t>
  </si>
  <si>
    <t>Carbon Steel Galvanized</t>
  </si>
  <si>
    <t>Rubber Lined Piping</t>
  </si>
  <si>
    <t>Valves - Flanged / Wafer Valves</t>
  </si>
  <si>
    <t>Valves - Control Valves</t>
  </si>
  <si>
    <t>Valves - Rubber Lined Valves</t>
  </si>
  <si>
    <t>Valves - Press Relief / Safety Valves</t>
  </si>
  <si>
    <t>Bolt Tensioning</t>
  </si>
  <si>
    <t>Reinforcing Pipes for Pads</t>
  </si>
  <si>
    <t>Radiography - For Joints THK. &lt;= 8MM (FOR CS than Class IV )</t>
  </si>
  <si>
    <t>Radiography - For Joints THK. &lt;= 8MM (FOR CS as per Class IV )</t>
  </si>
  <si>
    <t>Radiography - For Joints above THK. 8MM</t>
  </si>
  <si>
    <t>DYE Penetration / Magnetic Particle test</t>
  </si>
  <si>
    <t>Inches</t>
  </si>
  <si>
    <t>MT</t>
  </si>
  <si>
    <t>Dummy Pipe Supports for CS</t>
  </si>
  <si>
    <t>Dummy Pipe Supports for SS</t>
  </si>
  <si>
    <t>Stress Relieving</t>
  </si>
  <si>
    <t>Chemical Cleaning / Pickling</t>
  </si>
  <si>
    <t>Modification / Extra Works - CS Pipe (IBR/NON-IBR)</t>
  </si>
  <si>
    <t>Modification / Extra Works - SS Pipe (IBR/NON-IBR)</t>
  </si>
  <si>
    <t>Removal of Erected Piping (Above Ground) - CS</t>
  </si>
  <si>
    <t>Removal of Erected Piping (Above Ground) - SS</t>
  </si>
  <si>
    <t>Dismantling &amp; Erection of Re-erection of valves - Control
Valves</t>
  </si>
  <si>
    <t>Dismantling &amp; Erection of Re-erection of valves - Press.
Relief/Safety Valves</t>
  </si>
  <si>
    <t>Opening &amp; Boxing Up of Piping / Equipment Flanges &amp;
Blinding</t>
  </si>
  <si>
    <t>Manpower assistance for Pre-commissioning activities</t>
  </si>
  <si>
    <t>MD</t>
  </si>
  <si>
    <t>Cleaning of Strainers / Filters</t>
  </si>
  <si>
    <t>Fabrication of Tail Blinds</t>
  </si>
  <si>
    <t>C</t>
  </si>
  <si>
    <t>Civil and Architechtural Works</t>
  </si>
  <si>
    <t>Plain Reinforcement Concrete - PCC M20</t>
  </si>
  <si>
    <t>Cum</t>
  </si>
  <si>
    <t>Supply, Fabrication &amp; Shop primer of Structural Steel</t>
  </si>
  <si>
    <t>Erection of Structural Steel</t>
  </si>
  <si>
    <t>Placement</t>
  </si>
  <si>
    <t>Painting (Final &amp; Touch-Ups) - NON FIM</t>
  </si>
  <si>
    <t>Supply, Fabrication &amp; Erection of MS chequered plates</t>
  </si>
  <si>
    <t>Medium Duty Fasterners</t>
  </si>
  <si>
    <t>Each</t>
  </si>
  <si>
    <t>Supply and Fixing Mechanical Anchor Fasteners</t>
  </si>
  <si>
    <t>Supply and Fixing Bolts in equipment saddle.</t>
  </si>
  <si>
    <t>Demolishing &amp; Dismantling - RCC</t>
  </si>
  <si>
    <t>Dismantling bolted/rivetted/welded STRUCTURAL
STEEL WORK</t>
  </si>
  <si>
    <t>Supply &amp; Laying of MS galvanised pipes</t>
  </si>
  <si>
    <t>Mis.Civil &amp; Structural Work for UG Piping</t>
  </si>
  <si>
    <t>Supply &amp; Installation of Fire Fighting Equipments</t>
  </si>
  <si>
    <t>Radiographic Inspection - For Joints Thk&lt;=8mm other
than class IV</t>
  </si>
  <si>
    <t>Radiographic Inspection - For Joints Thk &gt;8mm</t>
  </si>
  <si>
    <t>Supply / Installation of valve assembly</t>
  </si>
  <si>
    <t>MV Spray System on Tanks ( Supply and Installation )</t>
  </si>
  <si>
    <t>Supply / Laying UG GI PIPE</t>
  </si>
  <si>
    <t>Laying / Joining of Fire Water pipes</t>
  </si>
  <si>
    <t>Auto Actuated HV Spray System on transformers (
Supply &amp; Installation )</t>
  </si>
  <si>
    <t>LS</t>
  </si>
  <si>
    <t>MV Spray System on Cable Cellar ( Supply &amp;
Installation )</t>
  </si>
  <si>
    <t>Supply &amp; Installation for Hydro-Pneumatic System
for FW network</t>
  </si>
  <si>
    <t>Excavation Work IN ROAD EMBANKMENT</t>
  </si>
  <si>
    <t>Laying /Joining CS PIPES IN RCC TRENCH DIA 300</t>
  </si>
  <si>
    <t>D</t>
  </si>
  <si>
    <t>Equipment</t>
  </si>
  <si>
    <t>Fuel Dispensing Unit</t>
  </si>
  <si>
    <t>MS Tank - 20 KL</t>
  </si>
  <si>
    <t>Cracked Ammonia Unit</t>
  </si>
  <si>
    <t>LOT</t>
  </si>
  <si>
    <t>Breathing Air Compressors</t>
  </si>
  <si>
    <t>Supply of Pumps with electrical motor</t>
  </si>
  <si>
    <t>Diesel Engine Driven Horizontal Certifugal Fire Water
Pump</t>
  </si>
  <si>
    <t>Diesel Storage Fixed Roof Tanks -</t>
  </si>
  <si>
    <t>Constraint:</t>
  </si>
  <si>
    <t>TATA PROJECT LIMITED</t>
  </si>
  <si>
    <t>DAILY MANPOWER &amp; MACHINERY REPORT</t>
  </si>
  <si>
    <t>Sr. No.</t>
  </si>
  <si>
    <t>Category</t>
  </si>
  <si>
    <t>TPL</t>
  </si>
  <si>
    <t>Sub-Contractor</t>
  </si>
  <si>
    <t>Total</t>
  </si>
  <si>
    <t>Staff</t>
  </si>
  <si>
    <t>RCM</t>
  </si>
  <si>
    <t>Site Incharge</t>
  </si>
  <si>
    <t>Document Controller</t>
  </si>
  <si>
    <t>Structural Engineer/Manager</t>
  </si>
  <si>
    <t>Structural Supervisor</t>
  </si>
  <si>
    <t>Piping Engineer/Manager</t>
  </si>
  <si>
    <t>Piping Supervisor</t>
  </si>
  <si>
    <t>Equipment Engineer</t>
  </si>
  <si>
    <t>Equipment Supervisor</t>
  </si>
  <si>
    <t>Erection Foreman</t>
  </si>
  <si>
    <t>Electrician</t>
  </si>
  <si>
    <t>SCM</t>
  </si>
  <si>
    <t>Stores Incharge</t>
  </si>
  <si>
    <t>Stores Assistant</t>
  </si>
  <si>
    <t>HR &amp; Admin</t>
  </si>
  <si>
    <t>EHS Incharge</t>
  </si>
  <si>
    <t>EHS Officer</t>
  </si>
  <si>
    <t>EHS Steward</t>
  </si>
  <si>
    <t>Quality Engineer/Manager</t>
  </si>
  <si>
    <t>Quality Supervisor</t>
  </si>
  <si>
    <t>Surveyor</t>
  </si>
  <si>
    <t>Facility Engineer</t>
  </si>
  <si>
    <t>TOTAL</t>
  </si>
  <si>
    <t>Workmen</t>
  </si>
  <si>
    <t>Mechanic</t>
  </si>
  <si>
    <t>Crane Operator</t>
  </si>
  <si>
    <t>Hydra Operator</t>
  </si>
  <si>
    <t>Trailor Operator</t>
  </si>
  <si>
    <t>Fitter</t>
  </si>
  <si>
    <t>Welder</t>
  </si>
  <si>
    <t>Rigger</t>
  </si>
  <si>
    <t>Helper</t>
  </si>
  <si>
    <t>Khalasi</t>
  </si>
  <si>
    <t>Grinder</t>
  </si>
  <si>
    <t>Gas Cutter</t>
  </si>
  <si>
    <t>Supervisor-Blasting</t>
  </si>
  <si>
    <t>Blaster</t>
  </si>
  <si>
    <t>Helper-Blasting</t>
  </si>
  <si>
    <t>RT Technician</t>
  </si>
  <si>
    <t>T &amp; P Status</t>
  </si>
  <si>
    <t>Hydra</t>
  </si>
  <si>
    <t>Trailer</t>
  </si>
  <si>
    <t>Sl. No.</t>
  </si>
  <si>
    <t>Area</t>
  </si>
  <si>
    <t>Type of footings</t>
  </si>
  <si>
    <t>Number of Footings</t>
  </si>
  <si>
    <t>Number of footings casted</t>
  </si>
  <si>
    <t>Number of footings balance</t>
  </si>
  <si>
    <t>Number of footings under hold</t>
  </si>
  <si>
    <t>Total number of design Drawings</t>
  </si>
  <si>
    <t>Number of drawings cleared</t>
  </si>
  <si>
    <t>Number of drawings pending</t>
  </si>
  <si>
    <t>Structure Tonnage as per design drawing</t>
  </si>
  <si>
    <t>Priority</t>
  </si>
  <si>
    <t>Area-1</t>
  </si>
  <si>
    <t>Foundation</t>
  </si>
  <si>
    <t>Priority-3</t>
  </si>
  <si>
    <t>T-Sleeper</t>
  </si>
  <si>
    <t>Area-2</t>
  </si>
  <si>
    <t>Area-3</t>
  </si>
  <si>
    <t>Area-4</t>
  </si>
  <si>
    <t>Area-5</t>
  </si>
  <si>
    <t>Priority-2</t>
  </si>
  <si>
    <t>Area-6</t>
  </si>
  <si>
    <t>Priority-1B</t>
  </si>
  <si>
    <t>Area-7</t>
  </si>
  <si>
    <t>Priority-1A</t>
  </si>
  <si>
    <t>Need Foundation handover from Plants &amp; Non-Plants</t>
  </si>
  <si>
    <t>Area-8</t>
  </si>
  <si>
    <t>Area-9</t>
  </si>
  <si>
    <t>Area-10</t>
  </si>
  <si>
    <t>Area-11</t>
  </si>
  <si>
    <t>Area-12</t>
  </si>
  <si>
    <t>Area-13</t>
  </si>
  <si>
    <t>Area-14</t>
  </si>
  <si>
    <t>Area-15</t>
  </si>
  <si>
    <t>Area-16</t>
  </si>
  <si>
    <t>Priority-1C</t>
  </si>
  <si>
    <t>Area-17</t>
  </si>
  <si>
    <t>Area-18</t>
  </si>
  <si>
    <t>Area-19</t>
  </si>
  <si>
    <t>Area-20</t>
  </si>
  <si>
    <t>Area-21</t>
  </si>
  <si>
    <t>Area-22</t>
  </si>
  <si>
    <t>Area-23</t>
  </si>
  <si>
    <t>Area-24</t>
  </si>
  <si>
    <t>Area-25</t>
  </si>
  <si>
    <t>Intra Plant pipe cum cable tray support</t>
  </si>
  <si>
    <t>Remarks:</t>
  </si>
  <si>
    <t xml:space="preserve">1. On T-Sleeper piping &amp; Intra plant piping, Wherever the underground road/ramp crossing occurs - hume pipes/RCC trenches/pipe culverts front required as applicable in drawings from Plants &amp; Non-Plants. </t>
  </si>
  <si>
    <t>Pipe Rack Structure - GAD/Design Drawing</t>
  </si>
  <si>
    <t>Sl.No.</t>
  </si>
  <si>
    <t>Area No.</t>
  </si>
  <si>
    <t>Drawing No.</t>
  </si>
  <si>
    <t>Observations</t>
  </si>
  <si>
    <t>A367-040-16-48-00701</t>
  </si>
  <si>
    <t>Area 1 FDN drg 00701 issued on 25.08.20 by EIL, but drg not received from NFC.</t>
  </si>
  <si>
    <t>A367-040-81-41-06704; R-2</t>
  </si>
  <si>
    <t xml:space="preserve">Descrepancy in the TOG elevation of Grid   1-19/38 &amp; Grid 20/38, Because the Tier-1 from 15-01 (A367-040-81-41-06774; R-1) is fouling wih the concrete column of Grid 1-19/38 &amp; Grid 1-20/38. </t>
  </si>
  <si>
    <t xml:space="preserve">Area-1 fabricated pipe rack structures are started to receive at site. </t>
  </si>
  <si>
    <t>A367-040-81-41-06774; R-1</t>
  </si>
  <si>
    <t>A367-040-16-48-00716; R-3</t>
  </si>
  <si>
    <t>In this foundation layout drawing, the grid 4-04 &amp; 4-05 is marked as HOLD, but in super structure drawing the same is not marked, need clarification.</t>
  </si>
  <si>
    <t>Already replied this thing on receipt of the drawing.</t>
  </si>
  <si>
    <t>A367-040-81-41-06732; R-2</t>
  </si>
  <si>
    <t>Mismatch of connecting beam (Tier-1) level to pipe bridge. Same is marked on the RFI drawing shared through mail.</t>
  </si>
  <si>
    <t>A367-040-16-48-00726; R-3</t>
  </si>
  <si>
    <t>Grid 6-41 &amp; 6-42 is kept under hold by EIL for the purpose of some changes in piping GAD may affect this grid.</t>
  </si>
  <si>
    <t>Recent comment by EIL.</t>
  </si>
  <si>
    <t>A367-040-16-48-00766</t>
  </si>
  <si>
    <r>
      <t xml:space="preserve">Due to change in Road location for Extrusion Bldg, Client (Civil Dept) may revise the foundation layout. </t>
    </r>
    <r>
      <rPr>
        <b/>
        <sz val="11"/>
        <color theme="1"/>
        <rFont val="Calibri"/>
        <family val="2"/>
        <scheme val="minor"/>
      </rPr>
      <t>Due to this reason detail engg not done.</t>
    </r>
  </si>
  <si>
    <t>A367-040-16-48-00767</t>
  </si>
  <si>
    <t>A367-040-16-48-00768</t>
  </si>
  <si>
    <t>A367-040-81-41-06769</t>
  </si>
  <si>
    <t>A367-040-81-41-06770</t>
  </si>
  <si>
    <t>A367-040-81-41-06771</t>
  </si>
  <si>
    <t>A367-040-81-41-06772</t>
  </si>
  <si>
    <t>A367-040-81-41-06773</t>
  </si>
  <si>
    <t>A367-040-16-48-06775</t>
  </si>
  <si>
    <t>A367-040-16-48-00776</t>
  </si>
  <si>
    <t>A367-040-16-48-00777</t>
  </si>
  <si>
    <t>A367-040-16-48-00778</t>
  </si>
  <si>
    <t xml:space="preserve">A367-040-81-41-06779 </t>
  </si>
  <si>
    <t>A367-040-81-41-06789</t>
  </si>
  <si>
    <t>Revised bridge drawing required.</t>
  </si>
  <si>
    <t>A367-040-81-41-06786; R-1</t>
  </si>
  <si>
    <r>
      <rPr>
        <b/>
        <sz val="11"/>
        <color theme="1"/>
        <rFont val="Calibri"/>
        <family val="2"/>
        <scheme val="minor"/>
      </rPr>
      <t>Due to the above reason detail engg not done for this bridge super structure too in co-relation with the pipe rack super structure.</t>
    </r>
    <r>
      <rPr>
        <sz val="11"/>
        <color theme="1"/>
        <rFont val="Calibri"/>
        <family val="2"/>
        <scheme val="minor"/>
      </rPr>
      <t xml:space="preserve"> So EIL shall confirm the latest revision.</t>
    </r>
  </si>
  <si>
    <t>A367-040-81-41-06787; R-1</t>
  </si>
  <si>
    <t>A367-040-81-41-06788; R-2</t>
  </si>
  <si>
    <t>A367-040-81-41-06790; R-0</t>
  </si>
  <si>
    <t>A367-040-81-41-06705</t>
  </si>
  <si>
    <t>Bridge drg 06705 issued on 25.08.20 by EIL,
but drg not received from NFC.</t>
  </si>
  <si>
    <t xml:space="preserve">A367-040-81-41-06791_Rev-0 </t>
  </si>
  <si>
    <t xml:space="preserve">A367-040-81-41-06792_Rev-0 </t>
  </si>
  <si>
    <t xml:space="preserve">A367-040-81-41-06793_Rev-0 </t>
  </si>
  <si>
    <t xml:space="preserve">A367-040-81-41-06794_Rev-0 </t>
  </si>
  <si>
    <t xml:space="preserve">A367-040-81-41-06795_Rev-0 </t>
  </si>
  <si>
    <t xml:space="preserve">A367-040-81-41-06796_Rev-0 </t>
  </si>
  <si>
    <t xml:space="preserve">A367-040-81-41-06797_Rev-0 </t>
  </si>
  <si>
    <t xml:space="preserve">A367-040-81-41-06798_Rev-0 </t>
  </si>
  <si>
    <t>For instance, Area-4</t>
  </si>
  <si>
    <t>A367-040-16-48-00717; R-2</t>
  </si>
  <si>
    <r>
      <rPr>
        <b/>
        <sz val="11"/>
        <color theme="1"/>
        <rFont val="Calibri"/>
        <family val="2"/>
        <scheme val="minor"/>
      </rPr>
      <t>Query on Pipe Rack drawing with respect to Piping GA drawing:</t>
    </r>
    <r>
      <rPr>
        <sz val="11"/>
        <color theme="1"/>
        <rFont val="Calibri"/>
        <family val="2"/>
        <scheme val="minor"/>
      </rPr>
      <t xml:space="preserve"> In some of the pipe rack area piping GA drawing some pipes are shown in the Cantilever support at outside of the column in same elevation of Tier-1 and some intermediate beams are provided in between the Tier-1 &amp; Tier-2 in the portion of the bridge area for supporting the pipes during crossover. 
But the same is not shown in the pipe rack design drawings &amp; Bridge Tower section view.</t>
    </r>
  </si>
  <si>
    <r>
      <rPr>
        <b/>
        <sz val="11"/>
        <color theme="1"/>
        <rFont val="Calibri"/>
        <family val="2"/>
        <scheme val="minor"/>
      </rPr>
      <t>Like this many other Area piping GAD drgs are also having these type of comments.</t>
    </r>
    <r>
      <rPr>
        <sz val="11"/>
        <color theme="1"/>
        <rFont val="Calibri"/>
        <family val="2"/>
        <scheme val="minor"/>
      </rPr>
      <t xml:space="preserve"> Need to be clarified at the earliest, because we already in the stage of completing the detail engineering w.r.t. the design drawing of super structure &amp; also started to supply the fabricated structure. Comment intimated date: 29/09/2020</t>
    </r>
  </si>
  <si>
    <t>A367-040-16-48-00718; R-2</t>
  </si>
  <si>
    <t>A367-040-81-41-06719; R-2</t>
  </si>
  <si>
    <t xml:space="preserve">A367-040-81-41-06720_Rev-1 </t>
  </si>
  <si>
    <t xml:space="preserve">A367-040-81-41-06721_Rev-1 </t>
  </si>
  <si>
    <t>Note:</t>
  </si>
  <si>
    <t>1. The above points may increase based on the inputs &amp; subsequent detail engg stage.</t>
  </si>
  <si>
    <t>Alignment</t>
  </si>
  <si>
    <t>Placing</t>
  </si>
  <si>
    <t>Painter</t>
  </si>
  <si>
    <t>STATUS</t>
  </si>
  <si>
    <t>Resolved, Drg. Received on 16-12-2020</t>
  </si>
  <si>
    <t>Resolved, on date 10-12-2020</t>
  </si>
  <si>
    <t>Clarified on 29-12-2020 &amp; found O.K. w.r.t. the latest revision</t>
  </si>
  <si>
    <t>Resolved, Drg. Received on 22-12-2020</t>
  </si>
  <si>
    <t>Detail Engg is under progress from TPL end.</t>
  </si>
  <si>
    <t>Resolved, Drg. Received on 1-1-2021</t>
  </si>
  <si>
    <t>Resolved, Typical Drg. Received on 4-1-2021 which is applicable for necessary area of pipe rack.</t>
  </si>
  <si>
    <t>Additional Points w.r.t. the further detail engg. Subsequent to the receipt of Revised drawings.</t>
  </si>
  <si>
    <t>A367-040-81-41-06803; 
R-1</t>
  </si>
  <si>
    <t>Plan elevation of Grid 13 &amp; 14 is not matching with Grid 1-36 &amp; 1-37.</t>
  </si>
  <si>
    <t xml:space="preserve"> Commented drawing enclosed.</t>
  </si>
  <si>
    <t>A367-040-81-41-06804; 
R-1</t>
  </si>
  <si>
    <t xml:space="preserve">In elevation drawing, the Grid 32 &amp; 33 is additionally shown but the same is not shown in the plan drawings. </t>
  </si>
  <si>
    <t>A367-040-81-41-06801; 
R-2</t>
  </si>
  <si>
    <t>A367-040-81-41-06802 &amp; 06803; R-1</t>
  </si>
  <si>
    <t>General</t>
  </si>
  <si>
    <t>SOQ/SOR &amp; Piping GAD</t>
  </si>
  <si>
    <t>Intimating in the Daily Progress Report.</t>
  </si>
  <si>
    <t>Observed while reviewing the piping GAD drawings.</t>
  </si>
  <si>
    <t>A367-000-16-43-0061_Rev-1</t>
  </si>
  <si>
    <t>1. This shall not to be considered as the final RFI list related to piping work, the RFI shall increase based on the detail engineering.</t>
  </si>
  <si>
    <r>
      <t xml:space="preserve">There is no supply item of 2" full coupling (Galv) SCRF in the SOQ/SOR w.r.t. the Galv SCRM pipes in SOQ/SOR </t>
    </r>
    <r>
      <rPr>
        <b/>
        <sz val="11"/>
        <color theme="1"/>
        <rFont val="Calibri"/>
        <family val="2"/>
        <scheme val="minor"/>
      </rPr>
      <t>- Need to be resolved at the earliest.</t>
    </r>
  </si>
  <si>
    <t>Intimated through email by 28-Oct-20 &amp; reminder on 21-Nov-20.</t>
  </si>
  <si>
    <r>
      <t xml:space="preserve">There is no supply item of 4" full coupling (Galv) SCRF in the SOQ/SOR w.r.t. the Galv SCRM pipes in SOQ/SOR </t>
    </r>
    <r>
      <rPr>
        <b/>
        <sz val="11"/>
        <color theme="1"/>
        <rFont val="Calibri"/>
        <family val="2"/>
        <scheme val="minor"/>
      </rPr>
      <t>- Need to be resolved at the earliest.</t>
    </r>
  </si>
  <si>
    <r>
      <t>There is no supply item of 6" full coupling (Galv) SCRF in the SOQ/SOR w.r.t. the Galv SCRM pipes in SOQ/SOR</t>
    </r>
    <r>
      <rPr>
        <b/>
        <sz val="11"/>
        <color theme="1"/>
        <rFont val="Calibri"/>
        <family val="2"/>
        <scheme val="minor"/>
      </rPr>
      <t xml:space="preserve"> - Need to be resolved at the earliest.</t>
    </r>
  </si>
  <si>
    <r>
      <t xml:space="preserve">There is no supply item for 3" SOFF Flange (rubber lined), w.r.t. the supply items for rubber lined pipes with plain end &amp; supply item for rubber lined 90deg elbow with Bevel end. The execution methodology for rubber line piping shall be, we will procure bare pipe &amp; bare elbow, spools will be fabricated with flange welded on both ends, rubber lining shall be done on spools, spools will be erected &amp; connected through flange bolting </t>
    </r>
    <r>
      <rPr>
        <b/>
        <sz val="11"/>
        <color theme="1"/>
        <rFont val="Calibri"/>
        <family val="2"/>
        <scheme val="minor"/>
      </rPr>
      <t>- Need to be resolved at the earliest.</t>
    </r>
  </si>
  <si>
    <r>
      <t>Wherever the RW &amp; FW encounters underground road/ramp crossing occurs - hume pipes/RCC trenches/pipe culverts front required as applicable in drawings from Plants &amp; Non-Plants</t>
    </r>
    <r>
      <rPr>
        <b/>
        <sz val="11"/>
        <color theme="1"/>
        <rFont val="Calibri"/>
        <family val="2"/>
        <scheme val="minor"/>
      </rPr>
      <t xml:space="preserve"> - Need to be resolved at the earliest.</t>
    </r>
  </si>
  <si>
    <r>
      <t xml:space="preserve">Wherever the utility/process piping encounters underground road/ramp crossing occurs - hume pipes/RCC trenches/pipe culverts front required as applicable in drawings from Plants &amp; Non-Plants </t>
    </r>
    <r>
      <rPr>
        <b/>
        <sz val="11"/>
        <color theme="1"/>
        <rFont val="Calibri"/>
        <family val="2"/>
        <scheme val="minor"/>
      </rPr>
      <t>- Need to be resolved at the earliest.</t>
    </r>
  </si>
  <si>
    <t xml:space="preserve">A367-000-16-43-0041_Rev-2 </t>
  </si>
  <si>
    <r>
      <t xml:space="preserve">The pipeline 25-NG-041-1503-A21A is shown in Area-1 to 3 piping GAD (A367-000-16-43-0011_Rev-1 ; A367-000-16-43-0021_Rev-0; A367-000-16-43-0031_Rev-0) but the same is not shown in the Area-4&amp;5 drawing, but the same is shown again in Area-6 piping GAD (A367-000-16-43-0061_Rev-1) </t>
    </r>
    <r>
      <rPr>
        <b/>
        <sz val="11"/>
        <color theme="1"/>
        <rFont val="Calibri"/>
        <family val="2"/>
        <scheme val="minor"/>
      </rPr>
      <t>- Need to be resolved at the earliest.</t>
    </r>
  </si>
  <si>
    <t xml:space="preserve">A367-000-16-43-0051_Rev-1 </t>
  </si>
  <si>
    <r>
      <t>In the Area-5 piping GAD there are 14 pipelines shown, whereas in the Area-6 piping GAD there is 16 pipelines shown that too in the shuffled manner</t>
    </r>
    <r>
      <rPr>
        <b/>
        <sz val="11"/>
        <color theme="1"/>
        <rFont val="Calibri"/>
        <family val="2"/>
        <scheme val="minor"/>
      </rPr>
      <t xml:space="preserve"> - Need to be resolved at the earliest.</t>
    </r>
  </si>
  <si>
    <r>
      <t xml:space="preserve">In Area-6 Piping GAD drawing sheet-2 of 2 is not available. Moreover, 6-47 &amp; 48 column shown in piping GAD but the same is not shown in corresponding Area-6 pipe rack structural drawing </t>
    </r>
    <r>
      <rPr>
        <b/>
        <sz val="11"/>
        <color theme="1"/>
        <rFont val="Calibri"/>
        <family val="2"/>
        <scheme val="minor"/>
      </rPr>
      <t>- Need to be resolved at the earliest.</t>
    </r>
  </si>
  <si>
    <t>Planning Manager/ Engineer</t>
  </si>
  <si>
    <t xml:space="preserve">           PROJECT:  PIPING PROJECT                                                         (340092)</t>
  </si>
  <si>
    <t>Material (Str) received at site</t>
  </si>
  <si>
    <t>Material (Str) erected Till now</t>
  </si>
  <si>
    <t>Additional(Melt Shop)</t>
  </si>
  <si>
    <t>STATUS as on date</t>
  </si>
  <si>
    <t>Any other Constraint (foundation,drawing,hold information)</t>
  </si>
  <si>
    <t>Date</t>
  </si>
  <si>
    <t>Progress Effected no.of Hours</t>
  </si>
  <si>
    <t>24 Hrs</t>
  </si>
  <si>
    <t>Work stopped NFC site because of 1 workmen death at NPCIL site</t>
  </si>
  <si>
    <t xml:space="preserve">340092 Piping Project </t>
  </si>
  <si>
    <t>A367-040-16-48-00771</t>
  </si>
  <si>
    <t>A367-040-16-48-00772</t>
  </si>
  <si>
    <t>A367-040-16-48-00773</t>
  </si>
  <si>
    <t>A367-040-81-41-06774</t>
  </si>
  <si>
    <t>A367-040-81-41-06784</t>
  </si>
  <si>
    <t>7 Foundation got hold by NFC CIVIL Dept(on fouling with some structure)</t>
  </si>
  <si>
    <t>7 Foundations under hold</t>
  </si>
  <si>
    <t>Working Status</t>
  </si>
  <si>
    <t xml:space="preserve">Reason for stoppage </t>
  </si>
  <si>
    <t>Supply, Fabrication &amp; Erection of Cold Forge light Gauge Steel</t>
  </si>
  <si>
    <t>Supply and Installation of combined Safety shower and eye wash unit</t>
  </si>
  <si>
    <t>Area-06 Bridge Erection Hold from NFC</t>
  </si>
  <si>
    <t>Area-13,14,23 &amp; 24 Drawing Approval pending from NFC</t>
  </si>
  <si>
    <t>CS Strucutural Steel- Supports</t>
  </si>
  <si>
    <t>SS Structural Steel- Supports</t>
  </si>
  <si>
    <t>Cleared on 13-03-21</t>
  </si>
  <si>
    <t>Pipes( Receiving at site)</t>
  </si>
  <si>
    <t>Resolved</t>
  </si>
  <si>
    <t>1. Regarding Area-25 pipe rack structure crossing the Overhead electrical transmission line. So the design drawing may change. Due to this reason detail engineering not done.
2. TPL Engg comments: Table-1 does not include Tier-1 &amp; Tier-2 levels. Please confirm levels marked in elevation can be followed or not. As per Table-1 no of cable trays are 2, however section 1-1, cable tray marked are 6. Please confirm.
3. TPL Engg comments: Table-1 does not include Tier-1 &amp; Tier-2 levels. Please confirm levels marked in elevation can be followed or not. As per Table-1 no of cable trays are 2, however section 1-1, cable tray marked are 6. Please confirm.</t>
  </si>
  <si>
    <t>Cleared on 15-03-21</t>
  </si>
  <si>
    <t>Area-15(7 Foundations) , 16(7 foundations) Drawing Hold from NFC</t>
  </si>
  <si>
    <t>Still Pending from NFC/EIL</t>
  </si>
  <si>
    <t>As on date Status</t>
  </si>
  <si>
    <t>Manlifter</t>
  </si>
  <si>
    <t>Vendor Approval for Fuel Dispensing Unit</t>
  </si>
  <si>
    <t>Breathing Air Bullet platform and drawings confirmation to Proceed</t>
  </si>
  <si>
    <t>Diesel Storage Tanks Drawings Approval</t>
  </si>
  <si>
    <t>Diesel Storage Tanks Input requirment for Peso Approval</t>
  </si>
  <si>
    <t>Ammonia Cracker P&amp;ID and QA Approval</t>
  </si>
  <si>
    <t>Rubber Lined items isometric drawing review and approval confirmation on NON-SOQ Items</t>
  </si>
  <si>
    <t>Specifications and painting confirmation for handrail, Gratings, Ladder and Chequered Plate</t>
  </si>
  <si>
    <t>Confirmation and Drawings for water Service, Valve SOQ in civil Structure</t>
  </si>
  <si>
    <t>Confirmation on Valve Technical Clarification</t>
  </si>
  <si>
    <t>Raw Water pipe line - Non SOQ quantity &amp; items need to be confirmed.</t>
  </si>
  <si>
    <t>Pipe Trench required for Underground piping (road crossings &amp; PFFF area).</t>
  </si>
  <si>
    <t>Progress Affected due to Powershutdown on 11-Apr-2021</t>
  </si>
  <si>
    <t>Progress Affected due to Powershutdown on 12-Apr-2021</t>
  </si>
  <si>
    <t>Half Day</t>
  </si>
  <si>
    <t>Full Day</t>
  </si>
  <si>
    <t>Progress Affected due to Powershutdown on 28-Apr-2021</t>
  </si>
  <si>
    <t>Breathing Air Bullet- Supply</t>
  </si>
  <si>
    <t>Breathing Air Bullet- Erection</t>
  </si>
  <si>
    <t>2a</t>
  </si>
  <si>
    <t>2b</t>
  </si>
  <si>
    <t>Pipe Sleeper :
Precasted = 2436 nos
Shifted = 1282 nos
Placed = 1282 nos
Backfilled = 1020 nos</t>
  </si>
  <si>
    <t>Supply and Application of Paints &amp; Primers  (-14 to 80 deg C)- Valves</t>
  </si>
  <si>
    <t xml:space="preserve">Cleared on </t>
  </si>
  <si>
    <t>Breathing Air Bullet 11 no's arrived at site foundations required to erect the same ASAP</t>
  </si>
  <si>
    <t>Revised Drawings received on Mar-21</t>
  </si>
  <si>
    <t>A367-040-16-48-00775</t>
  </si>
  <si>
    <t>A367-040-16-41-00769</t>
  </si>
  <si>
    <t>A367-040-16-41-00770</t>
  </si>
  <si>
    <t>A367-040-16-41-00771</t>
  </si>
  <si>
    <t>A367-040-16-41-00772</t>
  </si>
  <si>
    <t>A367-040-16-41-00773</t>
  </si>
  <si>
    <t>Civil Foundations Required for Erection</t>
  </si>
  <si>
    <t>Due to Frequent lockdown the dispatch of Pipe Rack Structures from factories are being delayed .</t>
  </si>
  <si>
    <t>Erection(MT)</t>
  </si>
  <si>
    <t>Manpower Strength</t>
  </si>
  <si>
    <t>blasting (mtrs)</t>
  </si>
  <si>
    <t>painting (mtrs)</t>
  </si>
  <si>
    <t>placing(IM)</t>
  </si>
  <si>
    <t>Fit up(id)</t>
  </si>
  <si>
    <t>Welding(id)</t>
  </si>
  <si>
    <t>13/5/2021</t>
  </si>
  <si>
    <t>STAFF</t>
  </si>
  <si>
    <t>LABOUR</t>
  </si>
  <si>
    <t>Progress Affected due to Powershutdown on 12-May-2021 (AREA-11)</t>
  </si>
  <si>
    <t>8 HRS</t>
  </si>
  <si>
    <t>Pipes supply (mtr)</t>
  </si>
  <si>
    <t>22/5/2021</t>
  </si>
  <si>
    <t>SCOPE</t>
  </si>
  <si>
    <t>PIPING</t>
  </si>
  <si>
    <t>PIPE RACK STRUCTURE</t>
  </si>
  <si>
    <t>Structural Supply (MT)</t>
  </si>
  <si>
    <t>Total (up to date)</t>
  </si>
  <si>
    <t>TOTAL MANPOWER</t>
  </si>
  <si>
    <t>Progress Affected because of heavy showers (18.00-19.30)</t>
  </si>
  <si>
    <t>Progress Affected because of heavy showers(19.15 - 22.00)</t>
  </si>
  <si>
    <t>Progress Affected because of heavy showers(18.00 - 19.30)</t>
  </si>
  <si>
    <t>1.5 hrs</t>
  </si>
  <si>
    <t>3.75hrs</t>
  </si>
  <si>
    <t>1.5hrs</t>
  </si>
  <si>
    <t>erection of beam and bracing</t>
  </si>
  <si>
    <t>Progress Affected Due to Power cut</t>
  </si>
  <si>
    <t>30 min</t>
  </si>
  <si>
    <t>INDUCTION (NEW)</t>
  </si>
  <si>
    <t>Progress Affected because of heavy showers(12.30 - 13.10)</t>
  </si>
  <si>
    <t>40 min</t>
  </si>
  <si>
    <t>Progress Affected because of heavy showers(19.30 - 20.20)</t>
  </si>
  <si>
    <t>50 min</t>
  </si>
  <si>
    <t>Progress Affected because of Power shutdown(9.54 - 10.17)</t>
  </si>
  <si>
    <t>23 min</t>
  </si>
  <si>
    <t>Progress Affected because of heavy showers(15.55 - 16.45)</t>
  </si>
  <si>
    <t xml:space="preserve">50 min </t>
  </si>
  <si>
    <t>Progress Affected because of heavy showers(17.03 - 18.15)</t>
  </si>
  <si>
    <t>1hr 12min</t>
  </si>
  <si>
    <t>Progress Affected because of heavy showers(18.20 - 19.00)</t>
  </si>
  <si>
    <t>Progress Affected because of heavy showers(14.35 - 15.50)</t>
  </si>
  <si>
    <t>1hr 15min</t>
  </si>
  <si>
    <t>Progress Affected because of Power shutdown(16.20 - 17.20)</t>
  </si>
  <si>
    <t>1hr</t>
  </si>
  <si>
    <t>Progress Affected because of heavy showers(17.20 - 17.45)</t>
  </si>
  <si>
    <t>25 min</t>
  </si>
  <si>
    <t>Progress Affected because of Power shutdown(19.10 - 19.50)</t>
  </si>
  <si>
    <t>Progress Affected because of Power shutdown(9.37  - 10.30)</t>
  </si>
  <si>
    <t>1hr7min</t>
  </si>
  <si>
    <t>area 11</t>
  </si>
  <si>
    <t>Progress Affected because of Power shutdown(multiple)</t>
  </si>
  <si>
    <t>2hr45min</t>
  </si>
  <si>
    <t>WELDING &amp; ASSEMBLY OF PORTALS/ERECTION OF PORTALS</t>
  </si>
  <si>
    <t>Progress Affected because of heavy showers(19.20 - 19.30)</t>
  </si>
  <si>
    <t>10 MIN</t>
  </si>
  <si>
    <t>Progress Affected because of heavy showers(17.00 - 17.50)</t>
  </si>
  <si>
    <t>50 MIN</t>
  </si>
  <si>
    <t>Progress Affected because of DRIZZLE(13.50 - 14.10)</t>
  </si>
  <si>
    <t>20 MIN</t>
  </si>
  <si>
    <t>Progress Affected because of heavy showers(11.42 - 12.30)</t>
  </si>
  <si>
    <t>38 MIN</t>
  </si>
  <si>
    <t>Alignment (MT)</t>
  </si>
  <si>
    <t>Welding (MT)</t>
  </si>
  <si>
    <t>Progress Affected because of heavy showers(7.00 - 20.00)</t>
  </si>
  <si>
    <t>13 hrs</t>
  </si>
  <si>
    <t>Progress Affected because of heavy showers(12.00 - 13.00)</t>
  </si>
  <si>
    <t>1 HR</t>
  </si>
  <si>
    <t>ERECTION OF PORTALS</t>
  </si>
  <si>
    <t>ERECTION OF TIE MEMBERS</t>
  </si>
  <si>
    <t>Progress Affected because of heavy showers(16.15 - 16.40)</t>
  </si>
  <si>
    <t>25 MIN</t>
  </si>
  <si>
    <t>ERECTION OF BRIDGE COLUMN (BOX-UP)</t>
  </si>
  <si>
    <t>ERECTION OF PORTALS &amp; ERECTION OF PORTALS</t>
  </si>
  <si>
    <t>Progress Affected because of heavy showers(08.00 - 9.30)</t>
  </si>
  <si>
    <t>1HR.30MIN</t>
  </si>
  <si>
    <t>Progress Affected because of heavy showers(15.00 - 16.00)</t>
  </si>
  <si>
    <t>1HR</t>
  </si>
  <si>
    <t>Progress Affected because of heavy showers(12.45 - 14.40)</t>
  </si>
  <si>
    <t>1HR 55MIN</t>
  </si>
  <si>
    <t>Progress Affected because of heavy showers(8.00 - 09.40)</t>
  </si>
  <si>
    <t>1hr 40min</t>
  </si>
  <si>
    <t>Progress Affected because of heavy showers(17.00 - 22.00)</t>
  </si>
  <si>
    <t>6hr</t>
  </si>
  <si>
    <t>Cumulative- August</t>
  </si>
  <si>
    <t>Progress Affected because of heavy showers(6.00 - 10.30)</t>
  </si>
  <si>
    <t>4hr 30min</t>
  </si>
  <si>
    <t>Progress Affected because of heavy showers(12.00 - 23.59)</t>
  </si>
  <si>
    <t>11hr 59min</t>
  </si>
  <si>
    <t>FIT-UP &amp; WELDING OF MEMBERS</t>
  </si>
  <si>
    <t>Progress Affected because of heavy showers(00.00 - 10.30)</t>
  </si>
  <si>
    <t>10HR 30MIN</t>
  </si>
  <si>
    <t>Progress Affected because of heavy showers(13.30 - 23.59)</t>
  </si>
  <si>
    <t>10HR 29MIN</t>
  </si>
  <si>
    <t>Progress Affected because of heavy showers(11.45 - 14.00)</t>
  </si>
  <si>
    <t>Progress Affected because of heavy showers(9.25 - 10.00)</t>
  </si>
  <si>
    <t>35MIN</t>
  </si>
  <si>
    <t>Progress Affected because of heavy showers(11.45 - 20.00)</t>
  </si>
  <si>
    <t>8HR15MIN</t>
  </si>
  <si>
    <t>2hr15min</t>
  </si>
  <si>
    <t>ALTHOUGH HEAVY SHOWERS ARE STIPULATED BUT DRIZZLE WAS CONTINOUS</t>
  </si>
  <si>
    <t>Progress Affected because of heavy showers(18.30 - 19.00)</t>
  </si>
  <si>
    <t>30min</t>
  </si>
  <si>
    <t>Progress Affected because of heavy showers(19.10 - 19.25)</t>
  </si>
  <si>
    <t>15min</t>
  </si>
  <si>
    <t>Progress Affected because of heavy showers(19.35 - 19.55)</t>
  </si>
  <si>
    <t>20min</t>
  </si>
  <si>
    <t>erection of tie MEMBERS</t>
  </si>
  <si>
    <t>ERECTION OF CABLE DUCTS</t>
  </si>
  <si>
    <t>ERECTION OF GALLERY</t>
  </si>
  <si>
    <t>erection of PORTALS</t>
  </si>
  <si>
    <t>FIT-UP OF GALLERY</t>
  </si>
  <si>
    <t>PLANNED (AUG)</t>
  </si>
  <si>
    <t>Supply of Hand rail material</t>
  </si>
  <si>
    <t>Progress Affected because of heavy showers(14.40 - 15.30)</t>
  </si>
  <si>
    <t>50min</t>
  </si>
  <si>
    <t>Fabrication, installation and Painting of Horz.
Handrail 1000mm</t>
  </si>
  <si>
    <t>Today (21-08-2021)</t>
  </si>
  <si>
    <t>Alignment &amp; Hydrotest</t>
  </si>
  <si>
    <t>16-Sep</t>
  </si>
  <si>
    <t>23-Sep</t>
  </si>
  <si>
    <t>21-Sep</t>
  </si>
  <si>
    <t>24-Sep</t>
  </si>
  <si>
    <t>Till</t>
  </si>
  <si>
    <t>o.k</t>
  </si>
  <si>
    <t>o.k.</t>
  </si>
  <si>
    <t>Supply of Fabricated Grating material</t>
  </si>
  <si>
    <t>Erection of Electroforged Grating</t>
  </si>
  <si>
    <t>Pipe Rack &amp; Pipe Bridge - 7 Foundation HOLD released by NFC. Foundations casting pending.</t>
  </si>
  <si>
    <t xml:space="preserve">Site Revised foundation Drawings shared by NFC on Jul'21, So progress effected. Moreover, the progress affected due to the High Tension Overhead Transmission Lines above the foundations. In addition to the above the PR24 to PR25 road crossing bridge affected due to the OHT line. </t>
  </si>
  <si>
    <t>After Detail Engineering, the fabricated structure was supplied to site. After that the PR14 civil GAD &amp; elevation was revised by NFC-Civil at SEP'21. Due to that there is huge involvement of structure modification work at site, so that the quantum of modification need to be made jointly for the additional work, progress is delayed due to this.</t>
  </si>
  <si>
    <r>
      <t xml:space="preserve">Erection (Other than Spools) : </t>
    </r>
    <r>
      <rPr>
        <b/>
        <sz val="11"/>
        <color theme="1"/>
        <rFont val="Calibri Light"/>
        <family val="2"/>
        <scheme val="major"/>
      </rPr>
      <t>CS</t>
    </r>
  </si>
  <si>
    <r>
      <t xml:space="preserve">Erection (Other than Spools) : </t>
    </r>
    <r>
      <rPr>
        <b/>
        <sz val="11"/>
        <color theme="1"/>
        <rFont val="Calibri Light"/>
        <family val="2"/>
        <scheme val="major"/>
      </rPr>
      <t>SS</t>
    </r>
  </si>
  <si>
    <t>Revised Drawings shared by NFC on 19 Feb'21, Erection work in progress by TPL. Some foundations are pending due to live cable on the particular foundation area.</t>
  </si>
  <si>
    <t>As discussed with NFC on 17.03.21 TPL has to make SOQ missing Item list and submission for approval. The same is under progress.</t>
  </si>
  <si>
    <t>Service wise, Size wise &amp; MOC wise pipe support details on the pipe rack need to be provided by EIL/NFC. In piping GAD drawing the same is not shown. - Received , BOM need to be made.</t>
  </si>
  <si>
    <t>List of Piping work related RFI pending from EIL/NFC - As on date 10-Oct-2021</t>
  </si>
  <si>
    <t>List of Super Structural Drawings pending from EIL/NFC - As on date 10-Oct-2021</t>
  </si>
  <si>
    <t>SLG - Grating &amp; Handrail work.</t>
  </si>
  <si>
    <t>Artson - Pipe Rack Structure</t>
  </si>
  <si>
    <t>Lansh - Piping work</t>
  </si>
  <si>
    <t>ICCPL - Fire Protection Work</t>
  </si>
  <si>
    <t>Crane (30T &amp; 50T)</t>
  </si>
  <si>
    <t>DG Set (44kva, 62kva &amp; 120kva)</t>
  </si>
  <si>
    <t>Progress affected because of  powder Shutdown(5:30 - 7:00PM)</t>
  </si>
  <si>
    <t>2 HOUR</t>
  </si>
  <si>
    <t>Progress affected because of power Tripped (3:45- 4:20)</t>
  </si>
  <si>
    <t>40 MIN</t>
  </si>
  <si>
    <t>progress affected because of power tripped (11:15 - 2:50)</t>
  </si>
  <si>
    <t>2 HOURS</t>
  </si>
  <si>
    <t>progress affected because of power tripped (10:30AM - 4:30PM)</t>
  </si>
  <si>
    <t>6 HOUR</t>
  </si>
  <si>
    <t>progress affected because of power Shut Down (12:00- 2:00)</t>
  </si>
  <si>
    <t>progress affected because of power Tripped (9:20 -11:15AM)</t>
  </si>
  <si>
    <t>2HOUR</t>
  </si>
  <si>
    <t>progress affected because of Tripped (2:20 - 6:15 )</t>
  </si>
  <si>
    <t>4 HOUR</t>
  </si>
  <si>
    <t>progress affected because of power tripped (2:00 -2:20)</t>
  </si>
  <si>
    <t>20MIN</t>
  </si>
  <si>
    <t>progress affected because of power Tripped( CSS01) (4:30- 4:50)</t>
  </si>
  <si>
    <t>progress affected because of power tripped ( CSS 01 &amp; CSS 03)(11:30 - 12:50)</t>
  </si>
  <si>
    <t xml:space="preserve">Progress affected because of power tripped (CSS01) </t>
  </si>
  <si>
    <t>20Min</t>
  </si>
  <si>
    <t>Progress affected because of power tripped (CSS01) (10:45- 11:06)</t>
  </si>
  <si>
    <t>25MIN</t>
  </si>
  <si>
    <t>progress affected because of power tripped (CSS03) (11AM-12:30PM)</t>
  </si>
  <si>
    <t>1:30Min</t>
  </si>
  <si>
    <t xml:space="preserve">Progress affected because of power cut in Tripped fabrication Yard (20min) </t>
  </si>
  <si>
    <t xml:space="preserve">Less progress Due to Duserra Festival </t>
  </si>
  <si>
    <t>1 DAY</t>
  </si>
  <si>
    <t>scafolding</t>
  </si>
  <si>
    <t>Pipe Rack Tracking as on 23-Oct-2021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</si>
</sst>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409]d\-mmm\-yy;@"/>
    <numFmt numFmtId="165" formatCode="0.000"/>
    <numFmt numFmtId="166" formatCode="0.0"/>
    <numFmt numFmtId="167" formatCode="0.0000000"/>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name val="Calibri Light"/>
      <family val="2"/>
      <scheme val="major"/>
    </font>
    <font>
      <b/>
      <sz val="12"/>
      <name val="Calibri Light"/>
      <family val="2"/>
      <scheme val="major"/>
    </font>
    <font>
      <b/>
      <sz val="14"/>
      <name val="Book Antiqua"/>
      <family val="1"/>
    </font>
    <font>
      <b/>
      <sz val="12"/>
      <color theme="1"/>
      <name val="Calibri Light"/>
      <family val="2"/>
      <scheme val="major"/>
    </font>
    <font>
      <b/>
      <sz val="11"/>
      <color theme="1"/>
      <name val="Calibri Light"/>
      <family val="2"/>
      <scheme val="major"/>
    </font>
    <font>
      <sz val="11"/>
      <color theme="1"/>
      <name val="Calibri Light"/>
      <family val="2"/>
      <scheme val="major"/>
    </font>
    <font>
      <sz val="12"/>
      <color theme="1"/>
      <name val="Calibri Light"/>
      <family val="2"/>
      <scheme val="major"/>
    </font>
    <font>
      <b/>
      <u/>
      <sz val="14"/>
      <name val="Calibri Light"/>
      <family val="2"/>
      <scheme val="major"/>
    </font>
    <font>
      <b/>
      <u/>
      <sz val="16"/>
      <name val="Calibri Light"/>
      <family val="2"/>
      <scheme val="major"/>
    </font>
    <font>
      <b/>
      <u/>
      <sz val="12"/>
      <name val="Calibri Light"/>
      <family val="2"/>
      <scheme val="major"/>
    </font>
    <font>
      <sz val="11"/>
      <color indexed="8"/>
      <name val="Calibri"/>
      <family val="2"/>
    </font>
    <font>
      <sz val="11"/>
      <name val="Calibri Light"/>
      <family val="2"/>
      <scheme val="major"/>
    </font>
    <font>
      <sz val="11"/>
      <color indexed="8"/>
      <name val="Calibri Light"/>
      <family val="2"/>
      <scheme val="major"/>
    </font>
    <font>
      <b/>
      <u/>
      <sz val="14"/>
      <color theme="1"/>
      <name val="Calibri"/>
      <family val="2"/>
      <scheme val="minor"/>
    </font>
    <font>
      <b/>
      <sz val="12"/>
      <color theme="1"/>
      <name val="Calibri"/>
      <family val="2"/>
      <scheme val="minor"/>
    </font>
    <font>
      <b/>
      <u/>
      <sz val="11"/>
      <color theme="1"/>
      <name val="Calibri"/>
      <family val="2"/>
      <scheme val="minor"/>
    </font>
    <font>
      <sz val="8"/>
      <name val="Calibri"/>
      <family val="2"/>
      <scheme val="minor"/>
    </font>
    <font>
      <b/>
      <sz val="14"/>
      <color theme="1"/>
      <name val="Calibri"/>
      <family val="2"/>
      <scheme val="minor"/>
    </font>
    <font>
      <b/>
      <sz val="14"/>
      <name val="Arial"/>
      <family val="2"/>
    </font>
    <font>
      <b/>
      <sz val="14"/>
      <color theme="1"/>
      <name val="Calibri Light"/>
      <family val="2"/>
      <scheme val="major"/>
    </font>
    <font>
      <sz val="11"/>
      <color rgb="FF000000"/>
      <name val="Calibri"/>
      <family val="2"/>
    </font>
    <font>
      <b/>
      <sz val="11"/>
      <color rgb="FF000000"/>
      <name val="Calibri"/>
      <family val="2"/>
    </font>
    <font>
      <sz val="12"/>
      <color theme="1"/>
      <name val="Times New Roman"/>
      <family val="1"/>
    </font>
    <font>
      <sz val="11"/>
      <name val="Calibri"/>
      <family val="2"/>
    </font>
  </fonts>
  <fills count="12">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5" tint="-0.249977111117893"/>
        <bgColor indexed="64"/>
      </patternFill>
    </fill>
  </fills>
  <borders count="3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s>
  <cellStyleXfs count="6">
    <xf numFmtId="0" fontId="0" fillId="0" borderId="0"/>
    <xf numFmtId="0" fontId="3" fillId="0" borderId="0"/>
    <xf numFmtId="0" fontId="1" fillId="0" borderId="0"/>
    <xf numFmtId="0" fontId="14" fillId="0" borderId="0"/>
    <xf numFmtId="0" fontId="3" fillId="0" borderId="0"/>
    <xf numFmtId="0" fontId="1" fillId="0" borderId="0"/>
  </cellStyleXfs>
  <cellXfs count="299">
    <xf numFmtId="0" fontId="0" fillId="0" borderId="0" xfId="0"/>
    <xf numFmtId="0" fontId="5" fillId="0" borderId="0" xfId="1" applyFont="1" applyFill="1" applyBorder="1" applyAlignment="1" applyProtection="1">
      <alignment horizontal="left"/>
      <protection locked="0"/>
    </xf>
    <xf numFmtId="164" fontId="5" fillId="0" borderId="0" xfId="1" applyNumberFormat="1" applyFont="1" applyFill="1" applyBorder="1" applyAlignment="1" applyProtection="1">
      <alignment horizontal="left"/>
      <protection locked="0"/>
    </xf>
    <xf numFmtId="164" fontId="6" fillId="0" borderId="1" xfId="1" applyNumberFormat="1" applyFont="1" applyFill="1" applyBorder="1" applyAlignment="1" applyProtection="1">
      <alignment horizontal="left"/>
      <protection locked="0"/>
    </xf>
    <xf numFmtId="0" fontId="8" fillId="0" borderId="0" xfId="2" applyFont="1" applyFill="1" applyProtection="1">
      <protection locked="0"/>
    </xf>
    <xf numFmtId="0" fontId="7" fillId="3" borderId="2" xfId="2" applyFont="1" applyFill="1" applyBorder="1" applyAlignment="1" applyProtection="1">
      <alignment horizontal="center" vertical="center"/>
      <protection hidden="1"/>
    </xf>
    <xf numFmtId="0" fontId="7" fillId="3" borderId="2" xfId="2" applyFont="1" applyFill="1" applyBorder="1" applyAlignment="1" applyProtection="1">
      <alignment horizontal="left" vertical="center" wrapText="1"/>
      <protection hidden="1"/>
    </xf>
    <xf numFmtId="0" fontId="7" fillId="3" borderId="3" xfId="2" applyFont="1" applyFill="1" applyBorder="1" applyAlignment="1" applyProtection="1">
      <alignment horizontal="centerContinuous" wrapText="1"/>
      <protection hidden="1"/>
    </xf>
    <xf numFmtId="0" fontId="7" fillId="3" borderId="4" xfId="2" applyFont="1" applyFill="1" applyBorder="1" applyAlignment="1" applyProtection="1">
      <alignment horizontal="centerContinuous" wrapText="1"/>
      <protection hidden="1"/>
    </xf>
    <xf numFmtId="0" fontId="7" fillId="3" borderId="5" xfId="2" applyFont="1" applyFill="1" applyBorder="1" applyAlignment="1" applyProtection="1">
      <alignment horizontal="centerContinuous" wrapText="1"/>
      <protection hidden="1"/>
    </xf>
    <xf numFmtId="0" fontId="9" fillId="0" borderId="2" xfId="2" applyFont="1" applyFill="1" applyBorder="1" applyAlignment="1" applyProtection="1">
      <alignment horizontal="right" vertical="center"/>
      <protection hidden="1"/>
    </xf>
    <xf numFmtId="0" fontId="9" fillId="0" borderId="2" xfId="2" applyFont="1" applyFill="1" applyBorder="1" applyAlignment="1" applyProtection="1">
      <alignment horizontal="left" vertical="center"/>
      <protection hidden="1"/>
    </xf>
    <xf numFmtId="0" fontId="9" fillId="0" borderId="2" xfId="2" applyFont="1" applyFill="1" applyBorder="1" applyAlignment="1" applyProtection="1">
      <alignment horizontal="center" vertical="center"/>
      <protection hidden="1"/>
    </xf>
    <xf numFmtId="2" fontId="9" fillId="0" borderId="2" xfId="2" applyNumberFormat="1" applyFont="1" applyFill="1" applyBorder="1" applyAlignment="1" applyProtection="1">
      <alignment horizontal="center" vertical="center"/>
      <protection hidden="1"/>
    </xf>
    <xf numFmtId="1" fontId="9" fillId="0" borderId="2" xfId="2" applyNumberFormat="1" applyFont="1" applyFill="1" applyBorder="1" applyAlignment="1" applyProtection="1">
      <alignment horizontal="center" vertical="center"/>
      <protection hidden="1"/>
    </xf>
    <xf numFmtId="165" fontId="9" fillId="0" borderId="2" xfId="2" applyNumberFormat="1" applyFont="1" applyFill="1" applyBorder="1" applyAlignment="1" applyProtection="1">
      <alignment horizontal="center" vertical="center"/>
      <protection hidden="1"/>
    </xf>
    <xf numFmtId="0" fontId="7" fillId="3" borderId="4" xfId="2" applyFont="1" applyFill="1" applyBorder="1" applyAlignment="1" applyProtection="1">
      <alignment horizontal="left" vertical="center"/>
      <protection hidden="1"/>
    </xf>
    <xf numFmtId="0" fontId="7" fillId="3" borderId="3" xfId="2" applyFont="1" applyFill="1" applyBorder="1" applyAlignment="1" applyProtection="1">
      <alignment horizontal="left" vertical="center"/>
      <protection hidden="1"/>
    </xf>
    <xf numFmtId="0" fontId="8" fillId="0" borderId="0" xfId="2" applyFont="1" applyFill="1" applyBorder="1" applyAlignment="1" applyProtection="1">
      <alignment horizontal="left" vertical="center"/>
      <protection locked="0"/>
    </xf>
    <xf numFmtId="0" fontId="12" fillId="0" borderId="11" xfId="1" applyFont="1" applyBorder="1" applyAlignment="1"/>
    <xf numFmtId="0" fontId="12" fillId="0" borderId="0" xfId="1" applyFont="1" applyBorder="1" applyAlignment="1"/>
    <xf numFmtId="0" fontId="9" fillId="0" borderId="0" xfId="0" applyFont="1"/>
    <xf numFmtId="0" fontId="11" fillId="0" borderId="0" xfId="1" applyFont="1" applyBorder="1" applyAlignment="1"/>
    <xf numFmtId="0" fontId="9" fillId="0" borderId="0" xfId="0" applyFont="1" applyBorder="1"/>
    <xf numFmtId="0" fontId="5" fillId="0" borderId="0" xfId="1" applyFont="1" applyBorder="1" applyAlignment="1">
      <alignment horizontal="center" vertical="center" wrapText="1"/>
    </xf>
    <xf numFmtId="14" fontId="5" fillId="0" borderId="0" xfId="1" applyNumberFormat="1" applyFont="1" applyFill="1" applyBorder="1" applyAlignment="1" applyProtection="1">
      <alignment horizontal="left"/>
      <protection locked="0"/>
    </xf>
    <xf numFmtId="0" fontId="10" fillId="0" borderId="0" xfId="0" applyFont="1"/>
    <xf numFmtId="0" fontId="5" fillId="0" borderId="4" xfId="1" applyFont="1" applyFill="1" applyBorder="1" applyAlignment="1">
      <alignment horizontal="center" vertical="center" wrapText="1"/>
    </xf>
    <xf numFmtId="0" fontId="5" fillId="0" borderId="4" xfId="3" applyFont="1" applyFill="1" applyBorder="1" applyAlignment="1">
      <alignment horizontal="center" vertical="center" wrapText="1"/>
    </xf>
    <xf numFmtId="0" fontId="5" fillId="0" borderId="5" xfId="1" applyFont="1" applyFill="1" applyBorder="1" applyAlignment="1">
      <alignment horizontal="center" vertical="center" wrapText="1"/>
    </xf>
    <xf numFmtId="0" fontId="10" fillId="0" borderId="0" xfId="0" applyFont="1" applyFill="1"/>
    <xf numFmtId="0" fontId="15" fillId="0" borderId="2" xfId="1" applyFont="1" applyFill="1" applyBorder="1" applyAlignment="1">
      <alignment horizontal="center" vertical="center" wrapText="1"/>
    </xf>
    <xf numFmtId="0" fontId="15" fillId="0" borderId="2" xfId="3" applyFont="1" applyFill="1" applyBorder="1" applyAlignment="1">
      <alignment horizontal="left" vertical="center" wrapText="1"/>
    </xf>
    <xf numFmtId="0" fontId="16" fillId="0" borderId="2" xfId="3" applyFont="1" applyFill="1" applyBorder="1" applyAlignment="1">
      <alignment horizontal="center" vertical="center" wrapText="1"/>
    </xf>
    <xf numFmtId="0" fontId="15" fillId="0" borderId="2" xfId="4" applyFont="1" applyFill="1" applyBorder="1" applyAlignment="1">
      <alignment horizontal="center"/>
    </xf>
    <xf numFmtId="0" fontId="15" fillId="0" borderId="2" xfId="4" applyFont="1" applyFill="1" applyBorder="1" applyAlignment="1">
      <alignment horizontal="center" vertical="center"/>
    </xf>
    <xf numFmtId="0" fontId="9" fillId="0" borderId="0" xfId="0" applyFont="1" applyFill="1"/>
    <xf numFmtId="0" fontId="15" fillId="0" borderId="2" xfId="3" applyFont="1" applyFill="1" applyBorder="1" applyAlignment="1">
      <alignment horizontal="center" vertical="center" wrapText="1"/>
    </xf>
    <xf numFmtId="0" fontId="9" fillId="0" borderId="0" xfId="0" applyFont="1" applyFill="1" applyBorder="1"/>
    <xf numFmtId="0" fontId="5" fillId="0" borderId="2" xfId="1" applyFont="1" applyFill="1" applyBorder="1" applyAlignment="1">
      <alignment horizontal="center" vertical="center" wrapText="1"/>
    </xf>
    <xf numFmtId="0" fontId="5" fillId="0" borderId="2" xfId="4" applyFont="1" applyFill="1" applyBorder="1" applyAlignment="1">
      <alignment horizontal="center" vertical="center"/>
    </xf>
    <xf numFmtId="0" fontId="7" fillId="0" borderId="0" xfId="0" applyFont="1" applyFill="1" applyBorder="1" applyAlignment="1">
      <alignment horizontal="center" vertical="center" wrapText="1"/>
    </xf>
    <xf numFmtId="0" fontId="10" fillId="0" borderId="0" xfId="0" applyFont="1" applyBorder="1"/>
    <xf numFmtId="0" fontId="10" fillId="0" borderId="0" xfId="0" applyFont="1" applyFill="1" applyBorder="1"/>
    <xf numFmtId="0" fontId="5" fillId="0" borderId="3" xfId="1" applyFont="1" applyFill="1" applyBorder="1" applyAlignment="1">
      <alignment horizontal="left" vertical="center"/>
    </xf>
    <xf numFmtId="0" fontId="8" fillId="0" borderId="0"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9" fillId="0" borderId="12" xfId="0" applyFont="1" applyBorder="1"/>
    <xf numFmtId="0" fontId="7" fillId="4" borderId="3" xfId="0" applyFont="1" applyFill="1" applyBorder="1" applyAlignment="1">
      <alignment vertical="center"/>
    </xf>
    <xf numFmtId="0" fontId="7" fillId="4" borderId="4" xfId="0" applyFont="1" applyFill="1" applyBorder="1" applyAlignment="1">
      <alignment vertical="center"/>
    </xf>
    <xf numFmtId="0" fontId="7" fillId="4" borderId="5" xfId="0" applyFont="1" applyFill="1" applyBorder="1" applyAlignment="1">
      <alignment vertical="center"/>
    </xf>
    <xf numFmtId="0" fontId="10" fillId="0" borderId="0" xfId="0" applyFont="1" applyAlignment="1">
      <alignment vertical="center"/>
    </xf>
    <xf numFmtId="0" fontId="9" fillId="0" borderId="2" xfId="0" applyFont="1" applyBorder="1" applyAlignment="1">
      <alignment horizontal="center" vertical="center"/>
    </xf>
    <xf numFmtId="0" fontId="9" fillId="0" borderId="2" xfId="0" applyFont="1" applyBorder="1" applyAlignment="1">
      <alignment vertical="center"/>
    </xf>
    <xf numFmtId="0" fontId="9" fillId="0" borderId="0" xfId="0" applyFont="1" applyAlignment="1">
      <alignment vertical="center"/>
    </xf>
    <xf numFmtId="0" fontId="9" fillId="0" borderId="0" xfId="0" applyFont="1" applyAlignment="1">
      <alignment horizontal="center"/>
    </xf>
    <xf numFmtId="0" fontId="0" fillId="0" borderId="2" xfId="0" applyBorder="1"/>
    <xf numFmtId="0" fontId="0" fillId="5" borderId="2" xfId="0" applyFill="1" applyBorder="1" applyAlignment="1">
      <alignment horizontal="center"/>
    </xf>
    <xf numFmtId="0" fontId="0" fillId="5" borderId="2" xfId="0" applyFill="1" applyBorder="1" applyAlignment="1">
      <alignment horizontal="center" vertical="center"/>
    </xf>
    <xf numFmtId="0" fontId="0" fillId="0" borderId="2" xfId="0" applyBorder="1" applyAlignment="1">
      <alignment horizontal="center"/>
    </xf>
    <xf numFmtId="0" fontId="2" fillId="0" borderId="2" xfId="0" applyFont="1" applyBorder="1" applyAlignment="1">
      <alignment horizontal="center"/>
    </xf>
    <xf numFmtId="0" fontId="2" fillId="5" borderId="2" xfId="0" applyFont="1" applyFill="1" applyBorder="1" applyAlignment="1">
      <alignment horizontal="center"/>
    </xf>
    <xf numFmtId="0" fontId="2" fillId="5" borderId="2" xfId="0" applyFont="1" applyFill="1" applyBorder="1" applyAlignment="1">
      <alignment horizontal="center" vertical="center"/>
    </xf>
    <xf numFmtId="0" fontId="0" fillId="0" borderId="0" xfId="0" applyAlignment="1">
      <alignment vertical="center"/>
    </xf>
    <xf numFmtId="0" fontId="18" fillId="0" borderId="2" xfId="0" applyFont="1" applyBorder="1" applyAlignment="1">
      <alignment horizontal="center" vertical="center"/>
    </xf>
    <xf numFmtId="0" fontId="0" fillId="0" borderId="2" xfId="0" applyBorder="1" applyAlignment="1">
      <alignment horizontal="center" vertical="center"/>
    </xf>
    <xf numFmtId="0" fontId="0" fillId="0" borderId="2" xfId="0" applyFill="1"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2" fillId="0" borderId="0" xfId="0" applyFont="1"/>
    <xf numFmtId="0" fontId="17" fillId="0" borderId="0" xfId="0" applyFont="1"/>
    <xf numFmtId="0" fontId="18" fillId="0" borderId="2" xfId="0" applyFont="1" applyFill="1" applyBorder="1" applyAlignment="1">
      <alignment horizontal="center" vertical="center"/>
    </xf>
    <xf numFmtId="0" fontId="0" fillId="0" borderId="2" xfId="0" applyBorder="1" applyAlignment="1">
      <alignment horizontal="center" vertical="center" wrapText="1"/>
    </xf>
    <xf numFmtId="0" fontId="0" fillId="0" borderId="2" xfId="0" applyFill="1" applyBorder="1" applyAlignment="1">
      <alignment horizontal="center" vertical="center" wrapText="1"/>
    </xf>
    <xf numFmtId="0" fontId="0" fillId="6" borderId="2" xfId="0" applyFill="1" applyBorder="1" applyAlignment="1">
      <alignment horizontal="center" vertical="center"/>
    </xf>
    <xf numFmtId="0" fontId="19" fillId="0" borderId="0" xfId="0" applyFont="1"/>
    <xf numFmtId="2" fontId="7" fillId="2" borderId="2" xfId="2" applyNumberFormat="1" applyFont="1" applyFill="1" applyBorder="1" applyAlignment="1" applyProtection="1">
      <alignment horizontal="center" vertical="center" wrapText="1"/>
      <protection hidden="1"/>
    </xf>
    <xf numFmtId="2" fontId="7" fillId="3" borderId="4" xfId="2" applyNumberFormat="1" applyFont="1" applyFill="1" applyBorder="1" applyAlignment="1" applyProtection="1">
      <alignment horizontal="centerContinuous" wrapText="1"/>
      <protection hidden="1"/>
    </xf>
    <xf numFmtId="2" fontId="9" fillId="0" borderId="3" xfId="2" applyNumberFormat="1" applyFont="1" applyFill="1" applyBorder="1" applyAlignment="1" applyProtection="1">
      <alignment horizontal="center" vertical="center"/>
      <protection hidden="1"/>
    </xf>
    <xf numFmtId="1" fontId="9" fillId="0" borderId="3" xfId="2" applyNumberFormat="1" applyFont="1" applyFill="1" applyBorder="1" applyAlignment="1" applyProtection="1">
      <alignment horizontal="center" vertical="center"/>
      <protection hidden="1"/>
    </xf>
    <xf numFmtId="0" fontId="0" fillId="0" borderId="0" xfId="0" applyFill="1" applyBorder="1" applyAlignment="1">
      <alignment horizontal="left" vertical="center"/>
    </xf>
    <xf numFmtId="0" fontId="0" fillId="0" borderId="9" xfId="0" applyFill="1" applyBorder="1" applyAlignment="1">
      <alignment horizontal="center" vertical="center" wrapText="1"/>
    </xf>
    <xf numFmtId="0" fontId="0" fillId="0" borderId="2" xfId="0" applyBorder="1" applyAlignment="1">
      <alignment horizontal="center" vertical="center"/>
    </xf>
    <xf numFmtId="0" fontId="0" fillId="0" borderId="2" xfId="0" applyFill="1" applyBorder="1" applyAlignment="1">
      <alignment horizontal="center" vertical="center"/>
    </xf>
    <xf numFmtId="0" fontId="0" fillId="0" borderId="6" xfId="0" applyBorder="1" applyAlignment="1">
      <alignment horizontal="center" vertic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center" vertical="center"/>
    </xf>
    <xf numFmtId="0" fontId="0" fillId="0" borderId="6" xfId="0" applyBorder="1" applyAlignment="1">
      <alignment horizontal="center"/>
    </xf>
    <xf numFmtId="0" fontId="2" fillId="0" borderId="2" xfId="0" applyFont="1" applyBorder="1" applyAlignment="1">
      <alignment horizontal="center" vertical="center"/>
    </xf>
    <xf numFmtId="0" fontId="0" fillId="0" borderId="6" xfId="0" applyBorder="1" applyAlignment="1">
      <alignment horizontal="center" vertical="center"/>
    </xf>
    <xf numFmtId="0" fontId="0" fillId="6" borderId="6" xfId="0" applyFill="1" applyBorder="1" applyAlignment="1">
      <alignment horizontal="center" vertical="center" wrapText="1"/>
    </xf>
    <xf numFmtId="0" fontId="0" fillId="0" borderId="15" xfId="0" applyBorder="1" applyAlignment="1">
      <alignment horizontal="center" vertical="center"/>
    </xf>
    <xf numFmtId="0" fontId="0" fillId="0" borderId="16" xfId="0" applyBorder="1" applyAlignment="1">
      <alignment vertical="center" wrapText="1"/>
    </xf>
    <xf numFmtId="0" fontId="2" fillId="0" borderId="16" xfId="0" applyFont="1" applyBorder="1" applyAlignment="1">
      <alignment horizontal="center" vertical="center" wrapText="1"/>
    </xf>
    <xf numFmtId="0" fontId="0" fillId="0" borderId="16" xfId="0" applyBorder="1" applyAlignment="1">
      <alignment horizontal="center" vertical="center"/>
    </xf>
    <xf numFmtId="0" fontId="2" fillId="0" borderId="16" xfId="0" applyFont="1" applyBorder="1" applyAlignment="1">
      <alignment horizontal="center" vertical="center"/>
    </xf>
    <xf numFmtId="166" fontId="0" fillId="0" borderId="16" xfId="0" applyNumberFormat="1" applyBorder="1" applyAlignment="1">
      <alignment horizontal="center" vertical="center"/>
    </xf>
    <xf numFmtId="0" fontId="2" fillId="0" borderId="18" xfId="0" applyFont="1" applyBorder="1" applyAlignment="1">
      <alignment horizontal="center" vertical="center" wrapText="1"/>
    </xf>
    <xf numFmtId="0" fontId="0" fillId="0" borderId="6" xfId="0" applyBorder="1" applyAlignment="1">
      <alignment wrapText="1"/>
    </xf>
    <xf numFmtId="0" fontId="2" fillId="0" borderId="20" xfId="0" applyFont="1" applyBorder="1" applyAlignment="1">
      <alignment horizontal="center" vertical="center"/>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0" fillId="0" borderId="0" xfId="0" applyAlignment="1">
      <alignment horizontal="center"/>
    </xf>
    <xf numFmtId="14" fontId="0" fillId="0" borderId="2" xfId="0" applyNumberFormat="1" applyBorder="1" applyAlignment="1">
      <alignment horizontal="center"/>
    </xf>
    <xf numFmtId="0" fontId="0" fillId="0" borderId="17" xfId="0" applyBorder="1" applyAlignment="1">
      <alignment horizontal="center" vertical="center" wrapText="1"/>
    </xf>
    <xf numFmtId="0" fontId="5" fillId="0" borderId="7" xfId="1" applyFont="1" applyFill="1" applyBorder="1" applyAlignment="1">
      <alignment horizontal="center" vertical="center" wrapText="1"/>
    </xf>
    <xf numFmtId="0" fontId="5" fillId="0" borderId="1" xfId="1" applyFont="1" applyFill="1" applyBorder="1" applyAlignment="1">
      <alignment horizontal="center" vertical="center" wrapText="1"/>
    </xf>
    <xf numFmtId="0" fontId="5" fillId="0" borderId="1" xfId="3" applyFont="1" applyFill="1" applyBorder="1" applyAlignment="1">
      <alignment horizontal="center" vertical="center" wrapText="1"/>
    </xf>
    <xf numFmtId="0" fontId="5" fillId="0" borderId="8" xfId="1" applyFont="1" applyFill="1" applyBorder="1" applyAlignment="1">
      <alignment horizontal="center" vertical="center" wrapText="1"/>
    </xf>
    <xf numFmtId="0" fontId="0" fillId="0" borderId="2" xfId="0" applyBorder="1" applyAlignment="1">
      <alignment horizontal="center" vertical="center"/>
    </xf>
    <xf numFmtId="0" fontId="0" fillId="0" borderId="0" xfId="0" applyAlignment="1"/>
    <xf numFmtId="0" fontId="0" fillId="0" borderId="2" xfId="0" applyBorder="1" applyAlignment="1">
      <alignment vertical="center"/>
    </xf>
    <xf numFmtId="0" fontId="0" fillId="0" borderId="2" xfId="0" applyFill="1" applyBorder="1" applyAlignment="1">
      <alignment vertical="center"/>
    </xf>
    <xf numFmtId="1" fontId="7" fillId="2" borderId="2" xfId="2" applyNumberFormat="1" applyFont="1" applyFill="1" applyBorder="1" applyAlignment="1" applyProtection="1">
      <alignment horizontal="center" vertical="center" wrapText="1"/>
      <protection hidden="1"/>
    </xf>
    <xf numFmtId="0" fontId="4" fillId="0" borderId="0" xfId="1" applyFont="1" applyFill="1" applyProtection="1">
      <protection locked="0"/>
    </xf>
    <xf numFmtId="0" fontId="5" fillId="0" borderId="0" xfId="1" applyFont="1" applyFill="1" applyProtection="1">
      <protection locked="0"/>
    </xf>
    <xf numFmtId="0" fontId="22" fillId="0" borderId="1" xfId="1" applyFont="1" applyFill="1" applyBorder="1" applyProtection="1">
      <protection locked="0"/>
    </xf>
    <xf numFmtId="0" fontId="22" fillId="0" borderId="1" xfId="1" applyFont="1" applyFill="1" applyBorder="1" applyAlignment="1" applyProtection="1">
      <alignment horizontal="center"/>
      <protection locked="0"/>
    </xf>
    <xf numFmtId="1" fontId="22" fillId="0" borderId="1" xfId="1" applyNumberFormat="1" applyFont="1" applyFill="1" applyBorder="1" applyAlignment="1" applyProtection="1">
      <alignment horizontal="center"/>
      <protection locked="0"/>
    </xf>
    <xf numFmtId="2" fontId="22" fillId="0" borderId="1" xfId="1" applyNumberFormat="1" applyFont="1" applyFill="1" applyBorder="1" applyAlignment="1" applyProtection="1">
      <alignment horizontal="center"/>
      <protection locked="0"/>
    </xf>
    <xf numFmtId="1" fontId="22" fillId="0" borderId="1" xfId="1" applyNumberFormat="1" applyFont="1" applyFill="1" applyBorder="1" applyProtection="1">
      <protection locked="0"/>
    </xf>
    <xf numFmtId="0" fontId="6" fillId="0" borderId="0" xfId="1" applyFont="1" applyFill="1" applyProtection="1">
      <protection locked="0"/>
    </xf>
    <xf numFmtId="0" fontId="23" fillId="0" borderId="6" xfId="2" applyFont="1" applyFill="1" applyBorder="1" applyAlignment="1" applyProtection="1">
      <alignment horizontal="center" vertical="center" wrapText="1"/>
      <protection hidden="1"/>
    </xf>
    <xf numFmtId="0" fontId="23" fillId="0" borderId="7" xfId="2" applyFont="1" applyFill="1" applyBorder="1" applyAlignment="1" applyProtection="1">
      <alignment horizontal="center" vertical="center" wrapText="1"/>
      <protection hidden="1"/>
    </xf>
    <xf numFmtId="0" fontId="23" fillId="0" borderId="1" xfId="2" applyFont="1" applyFill="1" applyBorder="1" applyAlignment="1" applyProtection="1">
      <alignment horizontal="center" vertical="center" wrapText="1"/>
      <protection hidden="1"/>
    </xf>
    <xf numFmtId="0" fontId="23" fillId="0" borderId="0" xfId="2" applyFont="1" applyFill="1" applyBorder="1" applyAlignment="1" applyProtection="1">
      <alignment horizontal="center" vertical="center" wrapText="1"/>
      <protection hidden="1"/>
    </xf>
    <xf numFmtId="1" fontId="23" fillId="0" borderId="1" xfId="2" applyNumberFormat="1" applyFont="1" applyFill="1" applyBorder="1" applyAlignment="1" applyProtection="1">
      <alignment horizontal="center" vertical="center" wrapText="1"/>
      <protection hidden="1"/>
    </xf>
    <xf numFmtId="2" fontId="23" fillId="0" borderId="1" xfId="2" applyNumberFormat="1" applyFont="1" applyFill="1" applyBorder="1" applyAlignment="1" applyProtection="1">
      <alignment horizontal="center" vertical="center" wrapText="1"/>
      <protection hidden="1"/>
    </xf>
    <xf numFmtId="0" fontId="8" fillId="0" borderId="8" xfId="2" applyFont="1" applyFill="1" applyBorder="1" applyAlignment="1" applyProtection="1">
      <alignment horizontal="center" vertical="center" wrapText="1"/>
      <protection hidden="1"/>
    </xf>
    <xf numFmtId="0" fontId="7" fillId="0" borderId="0" xfId="2" applyFont="1" applyFill="1" applyProtection="1">
      <protection locked="0"/>
    </xf>
    <xf numFmtId="2" fontId="8" fillId="3" borderId="2" xfId="2" applyNumberFormat="1" applyFont="1" applyFill="1" applyBorder="1" applyAlignment="1" applyProtection="1">
      <alignment horizontal="center" vertical="center"/>
      <protection hidden="1"/>
    </xf>
    <xf numFmtId="2" fontId="7" fillId="3" borderId="2" xfId="2" applyNumberFormat="1" applyFont="1" applyFill="1" applyBorder="1" applyAlignment="1" applyProtection="1">
      <alignment horizontal="center" vertical="center"/>
      <protection hidden="1"/>
    </xf>
    <xf numFmtId="1" fontId="8" fillId="0" borderId="0" xfId="2" applyNumberFormat="1" applyFont="1" applyFill="1" applyProtection="1">
      <protection locked="0"/>
    </xf>
    <xf numFmtId="2" fontId="7" fillId="3" borderId="4" xfId="2" applyNumberFormat="1" applyFont="1" applyFill="1" applyBorder="1" applyAlignment="1" applyProtection="1">
      <alignment horizontal="center" vertical="center"/>
      <protection hidden="1"/>
    </xf>
    <xf numFmtId="2" fontId="8" fillId="3" borderId="2" xfId="2" applyNumberFormat="1" applyFont="1" applyFill="1" applyBorder="1" applyProtection="1">
      <protection locked="0"/>
    </xf>
    <xf numFmtId="0" fontId="8" fillId="0" borderId="0" xfId="2" applyFont="1" applyFill="1" applyBorder="1" applyAlignment="1" applyProtection="1">
      <alignment horizontal="center" vertical="center"/>
      <protection locked="0"/>
    </xf>
    <xf numFmtId="0" fontId="8" fillId="0" borderId="0" xfId="2" applyFont="1" applyFill="1" applyBorder="1" applyProtection="1">
      <protection locked="0"/>
    </xf>
    <xf numFmtId="1" fontId="8" fillId="0" borderId="0" xfId="2" applyNumberFormat="1" applyFont="1" applyFill="1" applyBorder="1" applyProtection="1">
      <protection locked="0"/>
    </xf>
    <xf numFmtId="2" fontId="2" fillId="0" borderId="0" xfId="2" applyNumberFormat="1" applyFont="1" applyFill="1" applyProtection="1">
      <protection locked="0"/>
    </xf>
    <xf numFmtId="2" fontId="8" fillId="0" borderId="0" xfId="2" applyNumberFormat="1" applyFont="1" applyFill="1" applyBorder="1" applyProtection="1">
      <protection locked="0"/>
    </xf>
    <xf numFmtId="0" fontId="8" fillId="0" borderId="0" xfId="2" applyFont="1" applyFill="1" applyBorder="1" applyAlignment="1" applyProtection="1">
      <alignment horizontal="right" vertical="center"/>
      <protection locked="0"/>
    </xf>
    <xf numFmtId="0" fontId="8" fillId="0" borderId="0" xfId="2" applyFont="1" applyFill="1" applyAlignment="1" applyProtection="1">
      <alignment horizontal="right" vertical="center"/>
      <protection locked="0"/>
    </xf>
    <xf numFmtId="0" fontId="8" fillId="0" borderId="0" xfId="2" applyFont="1" applyFill="1" applyAlignment="1" applyProtection="1">
      <alignment horizontal="left" vertical="center"/>
      <protection locked="0"/>
    </xf>
    <xf numFmtId="0" fontId="8" fillId="0" borderId="0" xfId="2" applyFont="1" applyFill="1" applyAlignment="1" applyProtection="1">
      <alignment horizontal="center" vertical="center"/>
      <protection locked="0"/>
    </xf>
    <xf numFmtId="2" fontId="8" fillId="0" borderId="0" xfId="2" applyNumberFormat="1" applyFont="1" applyFill="1" applyProtection="1">
      <protection locked="0"/>
    </xf>
    <xf numFmtId="0" fontId="2" fillId="0" borderId="0" xfId="2" applyFont="1" applyFill="1" applyAlignment="1" applyProtection="1">
      <alignment horizontal="center" vertical="center"/>
      <protection locked="0"/>
    </xf>
    <xf numFmtId="0" fontId="2" fillId="0" borderId="0" xfId="2" applyFont="1" applyFill="1" applyAlignment="1" applyProtection="1">
      <alignment horizontal="left" vertical="center"/>
      <protection locked="0"/>
    </xf>
    <xf numFmtId="0" fontId="2" fillId="0" borderId="0" xfId="2" applyFont="1" applyFill="1" applyProtection="1">
      <protection locked="0"/>
    </xf>
    <xf numFmtId="1" fontId="2" fillId="0" borderId="0" xfId="2" applyNumberFormat="1" applyFont="1" applyFill="1" applyProtection="1">
      <protection locked="0"/>
    </xf>
    <xf numFmtId="0" fontId="0" fillId="3" borderId="2" xfId="0" applyFill="1" applyBorder="1"/>
    <xf numFmtId="0" fontId="9" fillId="0" borderId="2" xfId="2" applyFont="1" applyFill="1" applyBorder="1" applyProtection="1">
      <protection hidden="1"/>
    </xf>
    <xf numFmtId="0" fontId="9" fillId="0" borderId="0" xfId="2" applyFont="1" applyFill="1" applyProtection="1">
      <protection locked="0"/>
    </xf>
    <xf numFmtId="0" fontId="9" fillId="0" borderId="2" xfId="2" applyFont="1" applyFill="1" applyBorder="1" applyAlignment="1" applyProtection="1">
      <alignment horizontal="left" vertical="center" wrapText="1"/>
      <protection hidden="1"/>
    </xf>
    <xf numFmtId="0" fontId="9" fillId="0" borderId="3" xfId="2" applyFont="1" applyFill="1" applyBorder="1" applyAlignment="1" applyProtection="1">
      <alignment horizontal="center" vertical="center"/>
      <protection hidden="1"/>
    </xf>
    <xf numFmtId="0" fontId="9" fillId="0" borderId="2" xfId="2" applyFont="1" applyFill="1" applyBorder="1" applyAlignment="1" applyProtection="1">
      <alignment horizontal="right" vertical="center" wrapText="1"/>
      <protection hidden="1"/>
    </xf>
    <xf numFmtId="2" fontId="10" fillId="0" borderId="2" xfId="2" applyNumberFormat="1" applyFont="1" applyFill="1" applyBorder="1" applyAlignment="1" applyProtection="1">
      <alignment horizontal="centerContinuous" wrapText="1"/>
      <protection hidden="1"/>
    </xf>
    <xf numFmtId="0" fontId="9" fillId="0" borderId="10" xfId="2" applyFont="1" applyFill="1" applyBorder="1" applyAlignment="1" applyProtection="1">
      <alignment vertical="center" wrapText="1"/>
      <protection locked="0"/>
    </xf>
    <xf numFmtId="2" fontId="9" fillId="0" borderId="2" xfId="2" applyNumberFormat="1" applyFont="1" applyFill="1" applyBorder="1" applyProtection="1">
      <protection locked="0"/>
    </xf>
    <xf numFmtId="2" fontId="1" fillId="0" borderId="2" xfId="2" applyNumberFormat="1" applyFont="1" applyFill="1" applyBorder="1" applyProtection="1">
      <protection locked="0"/>
    </xf>
    <xf numFmtId="0" fontId="9" fillId="0" borderId="6" xfId="2" applyFont="1" applyFill="1" applyBorder="1" applyAlignment="1" applyProtection="1">
      <alignment horizontal="center" vertical="center" wrapText="1"/>
      <protection hidden="1"/>
    </xf>
    <xf numFmtId="0" fontId="18" fillId="0" borderId="2" xfId="0" applyFont="1" applyFill="1" applyBorder="1" applyAlignment="1">
      <alignment horizontal="center" vertical="center" wrapText="1"/>
    </xf>
    <xf numFmtId="0" fontId="0" fillId="0" borderId="2" xfId="0" applyBorder="1" applyAlignment="1">
      <alignment horizontal="center" vertical="center"/>
    </xf>
    <xf numFmtId="0" fontId="0" fillId="0" borderId="6" xfId="0" applyBorder="1" applyAlignment="1">
      <alignment horizontal="center" vertical="center"/>
    </xf>
    <xf numFmtId="0" fontId="2" fillId="0" borderId="2" xfId="0" applyFont="1" applyBorder="1"/>
    <xf numFmtId="0" fontId="2" fillId="0" borderId="2" xfId="0" applyFont="1" applyBorder="1" applyAlignment="1">
      <alignment horizontal="center" wrapText="1"/>
    </xf>
    <xf numFmtId="0" fontId="9" fillId="6" borderId="2" xfId="2" applyFont="1" applyFill="1" applyBorder="1" applyAlignment="1" applyProtection="1">
      <alignment horizontal="left" vertical="center" wrapText="1"/>
      <protection hidden="1"/>
    </xf>
    <xf numFmtId="0" fontId="0" fillId="0" borderId="2" xfId="0" applyBorder="1" applyAlignment="1">
      <alignment horizontal="center" vertical="center"/>
    </xf>
    <xf numFmtId="2" fontId="9" fillId="0" borderId="2" xfId="2" applyNumberFormat="1" applyFont="1" applyFill="1" applyBorder="1" applyAlignment="1" applyProtection="1">
      <alignment horizontal="center" vertical="center"/>
      <protection locked="0"/>
    </xf>
    <xf numFmtId="0" fontId="9" fillId="0" borderId="2" xfId="2" applyFont="1" applyFill="1" applyBorder="1" applyAlignment="1" applyProtection="1">
      <alignment vertical="center" wrapText="1"/>
      <protection hidden="1"/>
    </xf>
    <xf numFmtId="0" fontId="9" fillId="7" borderId="2" xfId="2" applyFont="1" applyFill="1" applyBorder="1" applyAlignment="1" applyProtection="1">
      <alignment vertical="center" wrapText="1"/>
      <protection hidden="1"/>
    </xf>
    <xf numFmtId="0" fontId="15" fillId="0" borderId="2" xfId="4" applyFont="1" applyFill="1" applyBorder="1" applyAlignment="1">
      <alignment horizontal="center"/>
    </xf>
    <xf numFmtId="0" fontId="24" fillId="0" borderId="2" xfId="0" applyFont="1" applyBorder="1" applyAlignment="1">
      <alignment vertical="center"/>
    </xf>
    <xf numFmtId="0" fontId="25" fillId="0" borderId="2" xfId="0" applyFont="1" applyBorder="1" applyAlignment="1">
      <alignment horizontal="center" vertical="center"/>
    </xf>
    <xf numFmtId="0" fontId="25" fillId="0" borderId="2" xfId="0" applyFont="1" applyBorder="1" applyAlignment="1">
      <alignment vertical="center"/>
    </xf>
    <xf numFmtId="2" fontId="8" fillId="0" borderId="2" xfId="2" applyNumberFormat="1" applyFont="1" applyFill="1" applyBorder="1" applyAlignment="1" applyProtection="1">
      <alignment horizontal="center" vertical="center"/>
      <protection hidden="1"/>
    </xf>
    <xf numFmtId="0" fontId="8" fillId="0" borderId="2" xfId="2" applyFont="1" applyFill="1" applyBorder="1" applyAlignment="1" applyProtection="1">
      <alignment horizontal="center" vertical="center"/>
      <protection hidden="1"/>
    </xf>
    <xf numFmtId="1" fontId="8" fillId="0" borderId="2" xfId="2" applyNumberFormat="1" applyFont="1" applyFill="1" applyBorder="1" applyAlignment="1" applyProtection="1">
      <alignment horizontal="center" vertical="center"/>
      <protection hidden="1"/>
    </xf>
    <xf numFmtId="2" fontId="0" fillId="0" borderId="0" xfId="0" applyNumberFormat="1"/>
    <xf numFmtId="0" fontId="25" fillId="0" borderId="2" xfId="0" applyFont="1" applyBorder="1" applyAlignment="1">
      <alignment horizontal="center" vertical="center" wrapText="1"/>
    </xf>
    <xf numFmtId="2" fontId="9" fillId="0" borderId="2" xfId="2" applyNumberFormat="1" applyFont="1" applyFill="1" applyBorder="1" applyAlignment="1" applyProtection="1">
      <alignment horizontal="center" vertical="center"/>
      <protection hidden="1"/>
    </xf>
    <xf numFmtId="0" fontId="25" fillId="0" borderId="2" xfId="0" applyFont="1" applyBorder="1" applyAlignment="1">
      <alignment vertical="center" wrapText="1"/>
    </xf>
    <xf numFmtId="2" fontId="9" fillId="0" borderId="3" xfId="2" applyNumberFormat="1" applyFont="1" applyFill="1" applyBorder="1" applyAlignment="1" applyProtection="1">
      <alignment horizontal="center" vertical="center"/>
      <protection hidden="1"/>
    </xf>
    <xf numFmtId="166" fontId="0" fillId="0" borderId="0" xfId="0" applyNumberFormat="1"/>
    <xf numFmtId="2" fontId="9" fillId="0" borderId="2" xfId="2" applyNumberFormat="1" applyFont="1" applyBorder="1" applyAlignment="1" applyProtection="1">
      <alignment horizontal="center" vertical="center"/>
      <protection hidden="1"/>
    </xf>
    <xf numFmtId="0" fontId="9" fillId="0" borderId="2" xfId="2" applyFont="1" applyBorder="1" applyAlignment="1" applyProtection="1">
      <alignment horizontal="center" vertical="center"/>
      <protection hidden="1"/>
    </xf>
    <xf numFmtId="2" fontId="9" fillId="0" borderId="2" xfId="2" applyNumberFormat="1" applyFont="1" applyFill="1" applyBorder="1" applyAlignment="1" applyProtection="1">
      <alignment horizontal="center" vertical="center"/>
      <protection hidden="1"/>
    </xf>
    <xf numFmtId="0" fontId="25" fillId="0" borderId="2" xfId="0" applyFont="1" applyBorder="1" applyAlignment="1">
      <alignment horizontal="center" vertical="center"/>
    </xf>
    <xf numFmtId="2" fontId="9" fillId="0" borderId="2" xfId="2" applyNumberFormat="1" applyFont="1" applyFill="1" applyBorder="1" applyAlignment="1" applyProtection="1">
      <alignment horizontal="center" vertical="center"/>
      <protection hidden="1"/>
    </xf>
    <xf numFmtId="167" fontId="0" fillId="0" borderId="0" xfId="0" applyNumberFormat="1"/>
    <xf numFmtId="0" fontId="26" fillId="0" borderId="0" xfId="0" applyFont="1" applyBorder="1" applyAlignment="1">
      <alignment horizontal="center" vertical="center" wrapText="1"/>
    </xf>
    <xf numFmtId="2" fontId="0" fillId="0" borderId="17" xfId="0" applyNumberFormat="1" applyBorder="1" applyAlignment="1">
      <alignment horizontal="center" vertical="center"/>
    </xf>
    <xf numFmtId="2" fontId="9" fillId="0" borderId="2" xfId="2" applyNumberFormat="1" applyFont="1" applyFill="1" applyBorder="1" applyAlignment="1" applyProtection="1">
      <alignment horizontal="center" vertical="center"/>
      <protection hidden="1"/>
    </xf>
    <xf numFmtId="2" fontId="9" fillId="0" borderId="2" xfId="2" applyNumberFormat="1" applyFont="1" applyFill="1" applyBorder="1" applyAlignment="1" applyProtection="1">
      <alignment horizontal="center" vertical="center"/>
      <protection hidden="1"/>
    </xf>
    <xf numFmtId="2" fontId="9" fillId="0" borderId="0" xfId="2" applyNumberFormat="1" applyFont="1" applyFill="1" applyProtection="1">
      <protection locked="0"/>
    </xf>
    <xf numFmtId="0" fontId="27" fillId="0" borderId="0" xfId="0" applyFont="1" applyFill="1" applyBorder="1" applyAlignment="1">
      <alignment horizontal="center" vertical="center"/>
    </xf>
    <xf numFmtId="2" fontId="9" fillId="0" borderId="2" xfId="2" applyNumberFormat="1" applyFont="1" applyFill="1" applyBorder="1" applyAlignment="1" applyProtection="1">
      <alignment horizontal="center" vertical="center"/>
      <protection hidden="1"/>
    </xf>
    <xf numFmtId="0" fontId="5" fillId="2" borderId="16" xfId="1" applyFont="1" applyFill="1" applyBorder="1" applyAlignment="1">
      <alignment horizontal="center" vertical="center" wrapText="1"/>
    </xf>
    <xf numFmtId="0" fontId="5" fillId="2" borderId="16" xfId="3" applyFont="1" applyFill="1" applyBorder="1" applyAlignment="1">
      <alignment horizontal="center" vertical="center" wrapText="1"/>
    </xf>
    <xf numFmtId="0" fontId="5" fillId="0" borderId="0" xfId="1" applyFont="1" applyBorder="1" applyAlignment="1">
      <alignment horizontal="center" vertical="center" wrapText="1"/>
    </xf>
    <xf numFmtId="0" fontId="9" fillId="3" borderId="2" xfId="2" applyFont="1" applyFill="1" applyBorder="1" applyAlignment="1" applyProtection="1">
      <alignment horizontal="right" vertical="center"/>
      <protection hidden="1"/>
    </xf>
    <xf numFmtId="2" fontId="8" fillId="0" borderId="0" xfId="2" quotePrefix="1" applyNumberFormat="1" applyFont="1" applyFill="1" applyProtection="1">
      <protection locked="0"/>
    </xf>
    <xf numFmtId="0" fontId="9" fillId="0" borderId="0" xfId="2" quotePrefix="1" applyFont="1" applyFill="1" applyProtection="1">
      <protection locked="0"/>
    </xf>
    <xf numFmtId="0" fontId="2" fillId="9" borderId="21" xfId="0" applyFont="1" applyFill="1" applyBorder="1" applyAlignment="1">
      <alignment horizontal="center" vertical="center" wrapText="1"/>
    </xf>
    <xf numFmtId="0" fontId="2" fillId="10" borderId="21" xfId="0" applyFont="1" applyFill="1" applyBorder="1" applyAlignment="1">
      <alignment horizontal="center" vertical="center" wrapText="1"/>
    </xf>
    <xf numFmtId="0" fontId="2" fillId="10" borderId="22" xfId="0" applyFont="1" applyFill="1" applyBorder="1" applyAlignment="1">
      <alignment horizontal="center" vertical="center" wrapText="1"/>
    </xf>
    <xf numFmtId="0" fontId="5" fillId="2" borderId="31" xfId="1" applyFont="1" applyFill="1" applyBorder="1" applyAlignment="1">
      <alignment horizontal="center" vertical="center" wrapText="1"/>
    </xf>
    <xf numFmtId="0" fontId="9" fillId="0" borderId="2" xfId="0" applyFont="1" applyBorder="1" applyAlignment="1">
      <alignment wrapText="1"/>
    </xf>
    <xf numFmtId="0" fontId="0" fillId="0" borderId="9" xfId="0" applyBorder="1" applyAlignment="1">
      <alignment horizontal="center"/>
    </xf>
    <xf numFmtId="14" fontId="0" fillId="0" borderId="9" xfId="0" applyNumberFormat="1" applyBorder="1" applyAlignment="1">
      <alignment horizontal="center"/>
    </xf>
    <xf numFmtId="0" fontId="0" fillId="0" borderId="9" xfId="0" applyBorder="1"/>
    <xf numFmtId="0" fontId="0" fillId="0" borderId="2" xfId="0" applyFill="1" applyBorder="1"/>
    <xf numFmtId="2" fontId="9" fillId="0" borderId="0" xfId="2" applyNumberFormat="1" applyFont="1" applyFill="1" applyAlignment="1" applyProtection="1">
      <alignment horizontal="center" vertical="center"/>
      <protection locked="0"/>
    </xf>
    <xf numFmtId="0" fontId="9" fillId="3" borderId="0" xfId="2" applyFont="1" applyFill="1" applyProtection="1">
      <protection locked="0"/>
    </xf>
    <xf numFmtId="0" fontId="0" fillId="11" borderId="2" xfId="0" applyFill="1" applyBorder="1" applyAlignment="1">
      <alignment horizontal="center"/>
    </xf>
    <xf numFmtId="14" fontId="0" fillId="11" borderId="2" xfId="0" applyNumberFormat="1" applyFill="1" applyBorder="1" applyAlignment="1">
      <alignment horizontal="center"/>
    </xf>
    <xf numFmtId="0" fontId="0" fillId="11" borderId="2" xfId="0" applyFill="1" applyBorder="1"/>
    <xf numFmtId="0" fontId="15" fillId="0" borderId="2" xfId="4" applyFont="1" applyFill="1" applyBorder="1" applyAlignment="1">
      <alignment horizontal="center"/>
    </xf>
    <xf numFmtId="0" fontId="9" fillId="0" borderId="10" xfId="2" applyFont="1" applyFill="1" applyBorder="1" applyAlignment="1" applyProtection="1">
      <alignment horizontal="center" vertical="center" wrapText="1"/>
      <protection locked="0"/>
    </xf>
    <xf numFmtId="0" fontId="9" fillId="0" borderId="6" xfId="2" applyFont="1" applyFill="1" applyBorder="1" applyAlignment="1" applyProtection="1">
      <alignment horizontal="center" vertical="center" wrapText="1"/>
      <protection locked="0"/>
    </xf>
    <xf numFmtId="0" fontId="4" fillId="0" borderId="0" xfId="1" applyFont="1" applyFill="1" applyBorder="1" applyAlignment="1" applyProtection="1">
      <alignment horizontal="center" wrapText="1"/>
      <protection locked="0"/>
    </xf>
    <xf numFmtId="0" fontId="5" fillId="0" borderId="0" xfId="1" applyFont="1" applyFill="1" applyBorder="1" applyAlignment="1" applyProtection="1">
      <alignment horizontal="center"/>
      <protection locked="0"/>
    </xf>
    <xf numFmtId="0" fontId="5" fillId="0" borderId="0" xfId="1" applyFont="1" applyFill="1" applyBorder="1" applyAlignment="1" applyProtection="1">
      <alignment horizontal="center" vertical="center"/>
      <protection locked="0"/>
    </xf>
    <xf numFmtId="0" fontId="7" fillId="2" borderId="2" xfId="2" applyFont="1" applyFill="1" applyBorder="1" applyAlignment="1" applyProtection="1">
      <alignment horizontal="center" vertical="center" wrapText="1"/>
      <protection hidden="1"/>
    </xf>
    <xf numFmtId="1" fontId="7" fillId="2" borderId="2" xfId="2" applyNumberFormat="1" applyFont="1" applyFill="1" applyBorder="1" applyAlignment="1" applyProtection="1">
      <alignment horizontal="center" vertical="center" wrapText="1"/>
      <protection hidden="1"/>
    </xf>
    <xf numFmtId="1" fontId="7" fillId="2" borderId="3" xfId="2" applyNumberFormat="1" applyFont="1" applyFill="1" applyBorder="1" applyAlignment="1" applyProtection="1">
      <alignment horizontal="center" vertical="center" wrapText="1"/>
      <protection hidden="1"/>
    </xf>
    <xf numFmtId="1" fontId="7" fillId="2" borderId="4" xfId="2" applyNumberFormat="1" applyFont="1" applyFill="1" applyBorder="1" applyAlignment="1" applyProtection="1">
      <alignment horizontal="center" vertical="center" wrapText="1"/>
      <protection hidden="1"/>
    </xf>
    <xf numFmtId="1" fontId="7" fillId="2" borderId="5" xfId="2" applyNumberFormat="1" applyFont="1" applyFill="1" applyBorder="1" applyAlignment="1" applyProtection="1">
      <alignment horizontal="center" vertical="center" wrapText="1"/>
      <protection hidden="1"/>
    </xf>
    <xf numFmtId="0" fontId="5" fillId="2" borderId="2" xfId="2" applyFont="1" applyFill="1" applyBorder="1" applyAlignment="1" applyProtection="1">
      <alignment horizontal="center" vertical="center" wrapText="1"/>
      <protection hidden="1"/>
    </xf>
    <xf numFmtId="0" fontId="8" fillId="0" borderId="9" xfId="2" applyFont="1" applyFill="1" applyBorder="1" applyAlignment="1" applyProtection="1">
      <alignment horizontal="center" vertical="center" wrapText="1"/>
      <protection hidden="1"/>
    </xf>
    <xf numFmtId="0" fontId="8" fillId="0" borderId="10" xfId="2" applyFont="1" applyFill="1" applyBorder="1" applyAlignment="1" applyProtection="1">
      <alignment horizontal="center" vertical="center" wrapText="1"/>
      <protection hidden="1"/>
    </xf>
    <xf numFmtId="0" fontId="8" fillId="0" borderId="6" xfId="2" applyFont="1" applyFill="1" applyBorder="1" applyAlignment="1" applyProtection="1">
      <alignment horizontal="center" vertical="center" wrapText="1"/>
      <protection hidden="1"/>
    </xf>
    <xf numFmtId="0" fontId="9" fillId="0" borderId="9" xfId="2" applyFont="1" applyFill="1" applyBorder="1" applyAlignment="1" applyProtection="1">
      <alignment horizontal="left" vertical="center" wrapText="1"/>
      <protection locked="0"/>
    </xf>
    <xf numFmtId="0" fontId="9" fillId="0" borderId="10" xfId="2" applyFont="1" applyFill="1" applyBorder="1" applyAlignment="1" applyProtection="1">
      <alignment horizontal="left" vertical="center" wrapText="1"/>
      <protection locked="0"/>
    </xf>
    <xf numFmtId="0" fontId="11" fillId="0" borderId="0" xfId="1" applyFont="1" applyBorder="1" applyAlignment="1">
      <alignment horizontal="center"/>
    </xf>
    <xf numFmtId="0" fontId="13" fillId="0" borderId="0" xfId="1" applyFont="1" applyBorder="1" applyAlignment="1">
      <alignment horizontal="center"/>
    </xf>
    <xf numFmtId="0" fontId="5" fillId="2" borderId="23" xfId="1" applyFont="1" applyFill="1" applyBorder="1" applyAlignment="1">
      <alignment horizontal="center" vertical="center" wrapText="1"/>
    </xf>
    <xf numFmtId="0" fontId="5" fillId="2" borderId="15" xfId="1" applyFont="1" applyFill="1" applyBorder="1" applyAlignment="1">
      <alignment horizontal="center" vertical="center" wrapText="1"/>
    </xf>
    <xf numFmtId="0" fontId="5" fillId="2" borderId="24" xfId="1" applyFont="1" applyFill="1" applyBorder="1" applyAlignment="1">
      <alignment horizontal="center" vertical="center" wrapText="1"/>
    </xf>
    <xf numFmtId="0" fontId="5" fillId="2" borderId="16" xfId="1" applyFont="1" applyFill="1" applyBorder="1" applyAlignment="1">
      <alignment horizontal="center" vertical="center" wrapText="1"/>
    </xf>
    <xf numFmtId="0" fontId="5" fillId="2" borderId="24" xfId="3" applyFont="1" applyFill="1" applyBorder="1" applyAlignment="1">
      <alignment horizontal="center" vertical="center" wrapText="1"/>
    </xf>
    <xf numFmtId="0" fontId="5" fillId="2" borderId="16" xfId="3" applyFont="1" applyFill="1" applyBorder="1" applyAlignment="1">
      <alignment horizontal="center" vertical="center" wrapText="1"/>
    </xf>
    <xf numFmtId="0" fontId="5" fillId="2" borderId="25" xfId="1" applyFont="1" applyFill="1" applyBorder="1" applyAlignment="1">
      <alignment horizontal="center" vertical="center" wrapText="1"/>
    </xf>
    <xf numFmtId="0" fontId="5" fillId="2" borderId="17" xfId="1" applyFont="1" applyFill="1" applyBorder="1" applyAlignment="1">
      <alignment horizontal="center" vertical="center" wrapText="1"/>
    </xf>
    <xf numFmtId="0" fontId="5" fillId="0" borderId="0" xfId="1" applyFont="1" applyBorder="1" applyAlignment="1">
      <alignment horizontal="center" vertical="center" wrapText="1"/>
    </xf>
    <xf numFmtId="0" fontId="5" fillId="2" borderId="30" xfId="3" applyFont="1" applyFill="1" applyBorder="1" applyAlignment="1">
      <alignment horizontal="center" vertical="center" wrapText="1"/>
    </xf>
    <xf numFmtId="0" fontId="5" fillId="2" borderId="33" xfId="3" applyFont="1" applyFill="1" applyBorder="1" applyAlignment="1">
      <alignment horizontal="center" vertical="center" wrapText="1"/>
    </xf>
    <xf numFmtId="0" fontId="5" fillId="2" borderId="32" xfId="3" applyFont="1" applyFill="1" applyBorder="1" applyAlignment="1">
      <alignment horizontal="center" vertical="center" wrapText="1"/>
    </xf>
    <xf numFmtId="0" fontId="0" fillId="0" borderId="9" xfId="0" applyBorder="1" applyAlignment="1">
      <alignment horizontal="center" wrapText="1"/>
    </xf>
    <xf numFmtId="0" fontId="0" fillId="0" borderId="6" xfId="0" applyBorder="1" applyAlignment="1">
      <alignment horizontal="center" wrapText="1"/>
    </xf>
    <xf numFmtId="0" fontId="0" fillId="0" borderId="13"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2" fillId="0" borderId="0" xfId="0" applyFont="1" applyAlignment="1">
      <alignment horizontal="right"/>
    </xf>
    <xf numFmtId="166" fontId="0" fillId="0" borderId="6" xfId="0" applyNumberFormat="1" applyBorder="1" applyAlignment="1">
      <alignment horizontal="center" vertical="center"/>
    </xf>
    <xf numFmtId="166" fontId="0" fillId="0" borderId="2" xfId="0" applyNumberFormat="1" applyBorder="1" applyAlignment="1">
      <alignment horizontal="center" vertical="center"/>
    </xf>
    <xf numFmtId="0" fontId="0" fillId="0" borderId="13" xfId="0" applyBorder="1" applyAlignment="1">
      <alignment horizontal="center"/>
    </xf>
    <xf numFmtId="0" fontId="2" fillId="0" borderId="2" xfId="0" applyFont="1" applyBorder="1" applyAlignment="1">
      <alignment horizontal="center" vertical="center"/>
    </xf>
    <xf numFmtId="166" fontId="0" fillId="0" borderId="14" xfId="0" applyNumberFormat="1" applyBorder="1" applyAlignment="1">
      <alignment horizontal="center" vertical="center"/>
    </xf>
    <xf numFmtId="166" fontId="0" fillId="0" borderId="19" xfId="0" applyNumberFormat="1" applyBorder="1" applyAlignment="1">
      <alignment horizontal="center" vertical="center"/>
    </xf>
    <xf numFmtId="166" fontId="0" fillId="0" borderId="19" xfId="0" applyNumberFormat="1" applyBorder="1" applyAlignment="1">
      <alignment horizontal="center" vertical="center" wrapText="1"/>
    </xf>
    <xf numFmtId="166" fontId="0" fillId="0" borderId="14" xfId="0" applyNumberFormat="1" applyBorder="1" applyAlignment="1">
      <alignment horizontal="center" vertical="center" wrapText="1"/>
    </xf>
    <xf numFmtId="166" fontId="2" fillId="0" borderId="2" xfId="0" applyNumberFormat="1" applyFont="1" applyBorder="1" applyAlignment="1">
      <alignment horizontal="center" vertical="center"/>
    </xf>
    <xf numFmtId="2" fontId="2" fillId="0" borderId="14" xfId="0" applyNumberFormat="1" applyFont="1" applyBorder="1" applyAlignment="1">
      <alignment horizontal="center" vertical="center"/>
    </xf>
    <xf numFmtId="0" fontId="17" fillId="0" borderId="0" xfId="0" applyFont="1" applyAlignment="1">
      <alignment horizontal="center"/>
    </xf>
    <xf numFmtId="166" fontId="0" fillId="0" borderId="26" xfId="0" applyNumberFormat="1" applyBorder="1" applyAlignment="1">
      <alignment horizontal="center" vertical="center" wrapText="1"/>
    </xf>
    <xf numFmtId="166" fontId="0" fillId="0" borderId="27" xfId="0" applyNumberFormat="1" applyBorder="1" applyAlignment="1">
      <alignment horizontal="center" vertical="center" wrapText="1"/>
    </xf>
    <xf numFmtId="166" fontId="0" fillId="0" borderId="14" xfId="0" applyNumberFormat="1" applyFont="1" applyBorder="1" applyAlignment="1">
      <alignment horizontal="center" vertical="center" wrapText="1"/>
    </xf>
    <xf numFmtId="166" fontId="2" fillId="0" borderId="14" xfId="0" applyNumberFormat="1" applyFont="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vertical="center" wrapText="1"/>
    </xf>
    <xf numFmtId="0" fontId="0" fillId="6" borderId="9" xfId="0" applyFill="1" applyBorder="1" applyAlignment="1">
      <alignment horizontal="center" vertical="center" wrapText="1"/>
    </xf>
    <xf numFmtId="0" fontId="0" fillId="6" borderId="6" xfId="0" applyFill="1" applyBorder="1" applyAlignment="1">
      <alignment horizontal="center" vertical="center" wrapText="1"/>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6" xfId="0" applyFont="1" applyBorder="1" applyAlignment="1">
      <alignment horizontal="center" vertical="center" wrapText="1"/>
    </xf>
    <xf numFmtId="0" fontId="21" fillId="0" borderId="1" xfId="0" applyFont="1" applyBorder="1" applyAlignment="1">
      <alignment horizontal="center"/>
    </xf>
    <xf numFmtId="0" fontId="2" fillId="0" borderId="28" xfId="0" applyFont="1" applyBorder="1" applyAlignment="1">
      <alignment horizontal="center" wrapText="1"/>
    </xf>
    <xf numFmtId="0" fontId="0" fillId="0" borderId="29" xfId="0" applyBorder="1" applyAlignment="1">
      <alignment horizontal="center" wrapText="1"/>
    </xf>
    <xf numFmtId="1" fontId="8" fillId="0" borderId="3" xfId="2" applyNumberFormat="1" applyFont="1" applyFill="1" applyBorder="1" applyAlignment="1" applyProtection="1">
      <alignment horizontal="center" vertical="center"/>
      <protection hidden="1"/>
    </xf>
    <xf numFmtId="1" fontId="8" fillId="0" borderId="5" xfId="2" applyNumberFormat="1" applyFont="1" applyFill="1" applyBorder="1" applyAlignment="1" applyProtection="1">
      <alignment horizontal="center" vertical="center"/>
      <protection hidden="1"/>
    </xf>
    <xf numFmtId="1" fontId="9" fillId="0" borderId="3" xfId="2" applyNumberFormat="1" applyFont="1" applyFill="1" applyBorder="1" applyAlignment="1" applyProtection="1">
      <alignment horizontal="center" vertical="center"/>
      <protection hidden="1"/>
    </xf>
    <xf numFmtId="1" fontId="9" fillId="0" borderId="5" xfId="2" applyNumberFormat="1" applyFont="1" applyFill="1" applyBorder="1" applyAlignment="1" applyProtection="1">
      <alignment horizontal="center" vertical="center"/>
      <protection hidden="1"/>
    </xf>
    <xf numFmtId="0" fontId="25" fillId="0" borderId="2" xfId="0" applyFont="1" applyBorder="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2" xfId="0" applyFont="1" applyBorder="1" applyAlignment="1">
      <alignment horizontal="center"/>
    </xf>
    <xf numFmtId="2" fontId="9" fillId="0" borderId="2" xfId="2" applyNumberFormat="1" applyFont="1" applyFill="1" applyBorder="1" applyAlignment="1" applyProtection="1">
      <alignment horizontal="center" vertical="center"/>
      <protection hidden="1"/>
    </xf>
    <xf numFmtId="0" fontId="0" fillId="3" borderId="2" xfId="0" applyFill="1" applyBorder="1" applyAlignment="1">
      <alignment horizontal="center"/>
    </xf>
    <xf numFmtId="0" fontId="0" fillId="6" borderId="2" xfId="0" applyFill="1" applyBorder="1" applyAlignment="1">
      <alignment horizontal="center"/>
    </xf>
    <xf numFmtId="0" fontId="0" fillId="8" borderId="2" xfId="0" applyFill="1" applyBorder="1" applyAlignment="1">
      <alignment horizontal="center" vertical="center"/>
    </xf>
    <xf numFmtId="0" fontId="25" fillId="0" borderId="3"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3" xfId="0" applyFont="1" applyBorder="1" applyAlignment="1">
      <alignment horizontal="center" vertical="center"/>
    </xf>
    <xf numFmtId="0" fontId="25" fillId="0" borderId="5" xfId="0" applyFont="1" applyBorder="1" applyAlignment="1">
      <alignment horizontal="center" vertical="center"/>
    </xf>
  </cellXfs>
  <cellStyles count="6">
    <cellStyle name="Normal" xfId="0" builtinId="0"/>
    <cellStyle name="Normal 2 2" xfId="1"/>
    <cellStyle name="Normal 2 3_DPR 22 08 08" xfId="3"/>
    <cellStyle name="Normal 2 5 2" xfId="4"/>
    <cellStyle name="Normal 3" xfId="2"/>
    <cellStyle name="Normal 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81310</xdr:colOff>
      <xdr:row>0</xdr:row>
      <xdr:rowOff>60069</xdr:rowOff>
    </xdr:from>
    <xdr:to>
      <xdr:col>1</xdr:col>
      <xdr:colOff>645948</xdr:colOff>
      <xdr:row>3</xdr:row>
      <xdr:rowOff>172245</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1310" y="60069"/>
          <a:ext cx="1092654" cy="847258"/>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52668</xdr:colOff>
      <xdr:row>0</xdr:row>
      <xdr:rowOff>0</xdr:rowOff>
    </xdr:from>
    <xdr:to>
      <xdr:col>1</xdr:col>
      <xdr:colOff>784413</xdr:colOff>
      <xdr:row>3</xdr:row>
      <xdr:rowOff>136522</xdr:rowOff>
    </xdr:to>
    <xdr:pic>
      <xdr:nvPicPr>
        <xdr:cNvPr id="2" name="Picture 2" descr="tata_logo_small">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68" y="0"/>
          <a:ext cx="1207995" cy="965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L\AppData\Local\Microsoft\Windows\Temporary%20Internet%20Files\Low\Content.IE5\59BX1F2K\Documents%20and%20Settings\GKC\Local%20Settings\Temporary%20Internet%20Files\Content.IE5\CPIVS9U7\KP%20CWS%20Sheet%20(Autosav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laning\09%20Reports\data\PGMA_SL\DATA\PL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1 (2)"/>
      <sheetName val="DATA SHEET"/>
      <sheetName val="SUMMARY SHEET"/>
      <sheetName val="Sheet3"/>
      <sheetName val="macro planning"/>
      <sheetName val="scope"/>
      <sheetName val="FINAL CALCULATION"/>
      <sheetName val="Sheet2"/>
      <sheetName val="Sheet4"/>
      <sheetName val="DPR"/>
    </sheetNames>
    <sheetDataSet>
      <sheetData sheetId="0"/>
      <sheetData sheetId="1"/>
      <sheetData sheetId="2"/>
      <sheetData sheetId="3"/>
      <sheetData sheetId="4"/>
      <sheetData sheetId="5"/>
      <sheetData sheetId="6"/>
      <sheetData sheetId="7"/>
      <sheetData sheetId="8"/>
      <sheetData sheetId="9">
        <row r="6">
          <cell r="A6" t="str">
            <v>STRAIGHT PIPE</v>
          </cell>
        </row>
        <row r="7">
          <cell r="A7" t="str">
            <v>BENDS/ELBOW</v>
          </cell>
        </row>
        <row r="8">
          <cell r="A8" t="str">
            <v>CON REDUCER</v>
          </cell>
        </row>
        <row r="9">
          <cell r="A9" t="str">
            <v>ECEN REDUCER</v>
          </cell>
        </row>
        <row r="10">
          <cell r="A10" t="str">
            <v>SPOOL PIECE</v>
          </cell>
        </row>
        <row r="11">
          <cell r="A11" t="str">
            <v>HEADER</v>
          </cell>
        </row>
        <row r="12">
          <cell r="A12" t="str">
            <v>DISC ENDS</v>
          </cell>
        </row>
      </sheetData>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H"/>
      <sheetName val="pr. parts"/>
      <sheetName val="str"/>
      <sheetName val="ductin"/>
      <sheetName val="PL1"/>
    </sheetNames>
    <sheetDataSet>
      <sheetData sheetId="0"/>
      <sheetData sheetId="1"/>
      <sheetData sheetId="2"/>
      <sheetData sheetId="3"/>
      <sheetData sheetId="4">
        <row r="1">
          <cell r="A1" t="str">
            <v>PGMA_NO</v>
          </cell>
          <cell r="B1" t="str">
            <v>DU_NO</v>
          </cell>
          <cell r="C1" t="str">
            <v>P_QTY</v>
          </cell>
          <cell r="D1" t="str">
            <v>P_WT</v>
          </cell>
          <cell r="E1" t="str">
            <v>E_QTY</v>
          </cell>
          <cell r="F1" t="str">
            <v>E_WT</v>
          </cell>
          <cell r="G1" t="str">
            <v>A_QTY</v>
          </cell>
          <cell r="H1" t="str">
            <v>A_WT</v>
          </cell>
          <cell r="I1" t="str">
            <v>W_QTY</v>
          </cell>
          <cell r="J1" t="str">
            <v>W_WT</v>
          </cell>
          <cell r="K1" t="str">
            <v>REMARK</v>
          </cell>
          <cell r="L1" t="str">
            <v>CHE</v>
          </cell>
        </row>
        <row r="2">
          <cell r="A2" t="str">
            <v>07-993</v>
          </cell>
          <cell r="B2" t="str">
            <v>003</v>
          </cell>
          <cell r="C2">
            <v>2</v>
          </cell>
          <cell r="D2">
            <v>84</v>
          </cell>
          <cell r="E2">
            <v>2</v>
          </cell>
          <cell r="F2">
            <v>84</v>
          </cell>
          <cell r="G2">
            <v>0</v>
          </cell>
          <cell r="H2">
            <v>0</v>
          </cell>
          <cell r="I2">
            <v>0</v>
          </cell>
          <cell r="J2">
            <v>0</v>
          </cell>
        </row>
        <row r="3">
          <cell r="A3" t="str">
            <v>07-993</v>
          </cell>
          <cell r="B3" t="str">
            <v>003</v>
          </cell>
          <cell r="C3">
            <v>0</v>
          </cell>
          <cell r="D3">
            <v>0</v>
          </cell>
          <cell r="E3">
            <v>0</v>
          </cell>
          <cell r="F3">
            <v>0</v>
          </cell>
          <cell r="G3">
            <v>2</v>
          </cell>
          <cell r="H3">
            <v>84</v>
          </cell>
          <cell r="I3">
            <v>2</v>
          </cell>
          <cell r="J3">
            <v>84</v>
          </cell>
        </row>
        <row r="4">
          <cell r="A4" t="str">
            <v>20-009</v>
          </cell>
          <cell r="B4" t="str">
            <v>003</v>
          </cell>
          <cell r="C4">
            <v>1</v>
          </cell>
          <cell r="D4">
            <v>1.1000000000000001</v>
          </cell>
          <cell r="E4">
            <v>1</v>
          </cell>
          <cell r="F4">
            <v>1.1000000000000001</v>
          </cell>
          <cell r="G4">
            <v>0</v>
          </cell>
          <cell r="H4">
            <v>0</v>
          </cell>
          <cell r="I4">
            <v>0</v>
          </cell>
          <cell r="J4">
            <v>0</v>
          </cell>
        </row>
        <row r="5">
          <cell r="A5" t="str">
            <v>20-009</v>
          </cell>
          <cell r="B5" t="str">
            <v>007</v>
          </cell>
          <cell r="C5">
            <v>1</v>
          </cell>
          <cell r="D5">
            <v>1.1399999999999999</v>
          </cell>
          <cell r="E5">
            <v>1</v>
          </cell>
          <cell r="F5">
            <v>1.1399999999999999</v>
          </cell>
          <cell r="G5">
            <v>0</v>
          </cell>
          <cell r="H5">
            <v>0</v>
          </cell>
          <cell r="I5">
            <v>0</v>
          </cell>
          <cell r="J5">
            <v>0</v>
          </cell>
        </row>
        <row r="6">
          <cell r="A6" t="str">
            <v>20-998</v>
          </cell>
          <cell r="B6" t="str">
            <v>001</v>
          </cell>
          <cell r="C6">
            <v>1</v>
          </cell>
          <cell r="D6">
            <v>0.55000000000000004</v>
          </cell>
          <cell r="E6">
            <v>1</v>
          </cell>
          <cell r="F6">
            <v>0.55000000000000004</v>
          </cell>
          <cell r="G6">
            <v>0</v>
          </cell>
          <cell r="H6">
            <v>0</v>
          </cell>
          <cell r="I6">
            <v>0</v>
          </cell>
          <cell r="J6">
            <v>0</v>
          </cell>
        </row>
        <row r="7">
          <cell r="A7" t="str">
            <v>20-998</v>
          </cell>
          <cell r="B7" t="str">
            <v>002</v>
          </cell>
          <cell r="C7">
            <v>1</v>
          </cell>
          <cell r="D7">
            <v>0.08</v>
          </cell>
          <cell r="E7">
            <v>1</v>
          </cell>
          <cell r="F7">
            <v>0.08</v>
          </cell>
          <cell r="G7">
            <v>0</v>
          </cell>
          <cell r="H7">
            <v>0</v>
          </cell>
          <cell r="I7">
            <v>0</v>
          </cell>
          <cell r="J7">
            <v>0</v>
          </cell>
        </row>
        <row r="8">
          <cell r="A8" t="str">
            <v>20-998</v>
          </cell>
          <cell r="B8" t="str">
            <v>004</v>
          </cell>
          <cell r="C8">
            <v>1</v>
          </cell>
          <cell r="D8">
            <v>1.25</v>
          </cell>
          <cell r="E8">
            <v>1</v>
          </cell>
          <cell r="F8">
            <v>1.25</v>
          </cell>
          <cell r="G8">
            <v>0</v>
          </cell>
          <cell r="H8">
            <v>0</v>
          </cell>
          <cell r="I8">
            <v>0</v>
          </cell>
          <cell r="J8">
            <v>0</v>
          </cell>
        </row>
        <row r="9">
          <cell r="A9" t="str">
            <v>20-998</v>
          </cell>
          <cell r="B9" t="str">
            <v>005</v>
          </cell>
          <cell r="C9">
            <v>1</v>
          </cell>
          <cell r="D9">
            <v>0.8</v>
          </cell>
          <cell r="E9">
            <v>1</v>
          </cell>
          <cell r="F9">
            <v>0.8</v>
          </cell>
          <cell r="G9">
            <v>0</v>
          </cell>
          <cell r="H9">
            <v>0</v>
          </cell>
          <cell r="I9">
            <v>0</v>
          </cell>
          <cell r="J9">
            <v>0</v>
          </cell>
        </row>
        <row r="10">
          <cell r="A10" t="str">
            <v>20-998</v>
          </cell>
          <cell r="B10" t="str">
            <v>006</v>
          </cell>
          <cell r="C10">
            <v>1</v>
          </cell>
          <cell r="D10">
            <v>1.25</v>
          </cell>
          <cell r="E10">
            <v>1</v>
          </cell>
          <cell r="F10">
            <v>1.25</v>
          </cell>
          <cell r="G10">
            <v>0</v>
          </cell>
          <cell r="H10">
            <v>0</v>
          </cell>
          <cell r="I10">
            <v>0</v>
          </cell>
          <cell r="J10">
            <v>0</v>
          </cell>
        </row>
        <row r="11">
          <cell r="A11" t="str">
            <v>20-998</v>
          </cell>
          <cell r="B11" t="str">
            <v>007</v>
          </cell>
          <cell r="C11">
            <v>1</v>
          </cell>
          <cell r="D11">
            <v>0.24</v>
          </cell>
          <cell r="E11">
            <v>1</v>
          </cell>
          <cell r="F11">
            <v>0.24</v>
          </cell>
          <cell r="G11">
            <v>0</v>
          </cell>
          <cell r="H11">
            <v>0</v>
          </cell>
          <cell r="I11">
            <v>0</v>
          </cell>
          <cell r="J11">
            <v>0</v>
          </cell>
        </row>
        <row r="12">
          <cell r="A12" t="str">
            <v>20-998</v>
          </cell>
          <cell r="B12" t="str">
            <v>008</v>
          </cell>
          <cell r="C12">
            <v>1</v>
          </cell>
          <cell r="D12">
            <v>0.31</v>
          </cell>
          <cell r="E12">
            <v>1</v>
          </cell>
          <cell r="F12">
            <v>0.31</v>
          </cell>
          <cell r="G12">
            <v>0</v>
          </cell>
          <cell r="H12">
            <v>0</v>
          </cell>
          <cell r="I12">
            <v>0</v>
          </cell>
          <cell r="J12">
            <v>0</v>
          </cell>
        </row>
        <row r="13">
          <cell r="A13" t="str">
            <v>20-998</v>
          </cell>
          <cell r="B13" t="str">
            <v>009</v>
          </cell>
          <cell r="C13">
            <v>1</v>
          </cell>
          <cell r="D13">
            <v>0.25</v>
          </cell>
          <cell r="E13">
            <v>1</v>
          </cell>
          <cell r="F13">
            <v>0.25</v>
          </cell>
          <cell r="G13">
            <v>0</v>
          </cell>
          <cell r="H13">
            <v>0</v>
          </cell>
          <cell r="I13">
            <v>0</v>
          </cell>
          <cell r="J13">
            <v>0</v>
          </cell>
        </row>
        <row r="14">
          <cell r="A14" t="str">
            <v>20-998</v>
          </cell>
          <cell r="B14" t="str">
            <v>010</v>
          </cell>
          <cell r="C14">
            <v>1</v>
          </cell>
          <cell r="D14">
            <v>0.19</v>
          </cell>
          <cell r="E14">
            <v>1</v>
          </cell>
          <cell r="F14">
            <v>0.19</v>
          </cell>
          <cell r="G14">
            <v>0</v>
          </cell>
          <cell r="H14">
            <v>0</v>
          </cell>
          <cell r="I14">
            <v>0</v>
          </cell>
          <cell r="J14">
            <v>0</v>
          </cell>
        </row>
        <row r="15">
          <cell r="A15" t="str">
            <v>20-998</v>
          </cell>
          <cell r="B15" t="str">
            <v>011</v>
          </cell>
          <cell r="C15">
            <v>1</v>
          </cell>
          <cell r="D15">
            <v>1.6</v>
          </cell>
          <cell r="E15">
            <v>1</v>
          </cell>
          <cell r="F15">
            <v>1.6</v>
          </cell>
          <cell r="G15">
            <v>0</v>
          </cell>
          <cell r="H15">
            <v>0</v>
          </cell>
          <cell r="I15">
            <v>0</v>
          </cell>
          <cell r="J15">
            <v>0</v>
          </cell>
        </row>
        <row r="16">
          <cell r="A16" t="str">
            <v>20-998</v>
          </cell>
          <cell r="B16" t="str">
            <v>012</v>
          </cell>
          <cell r="C16">
            <v>1</v>
          </cell>
          <cell r="D16">
            <v>0.08</v>
          </cell>
          <cell r="E16">
            <v>1</v>
          </cell>
          <cell r="F16">
            <v>0.08</v>
          </cell>
          <cell r="G16">
            <v>0</v>
          </cell>
          <cell r="H16">
            <v>0</v>
          </cell>
          <cell r="I16">
            <v>0</v>
          </cell>
          <cell r="J16">
            <v>0</v>
          </cell>
        </row>
        <row r="17">
          <cell r="A17" t="str">
            <v>20-998</v>
          </cell>
          <cell r="B17" t="str">
            <v>013</v>
          </cell>
          <cell r="C17">
            <v>1</v>
          </cell>
          <cell r="D17">
            <v>0.84</v>
          </cell>
          <cell r="E17">
            <v>1</v>
          </cell>
          <cell r="F17">
            <v>0.84</v>
          </cell>
          <cell r="G17">
            <v>0</v>
          </cell>
          <cell r="H17">
            <v>0</v>
          </cell>
          <cell r="I17">
            <v>0</v>
          </cell>
          <cell r="J17">
            <v>0</v>
          </cell>
        </row>
        <row r="18">
          <cell r="A18" t="str">
            <v>21-601</v>
          </cell>
          <cell r="B18" t="str">
            <v>010</v>
          </cell>
          <cell r="C18">
            <v>1</v>
          </cell>
          <cell r="D18">
            <v>2.48</v>
          </cell>
          <cell r="E18">
            <v>1</v>
          </cell>
          <cell r="F18">
            <v>2.48</v>
          </cell>
          <cell r="G18">
            <v>0</v>
          </cell>
          <cell r="H18">
            <v>0</v>
          </cell>
          <cell r="I18">
            <v>0</v>
          </cell>
          <cell r="J18">
            <v>0</v>
          </cell>
        </row>
        <row r="19">
          <cell r="A19" t="str">
            <v>21-601</v>
          </cell>
          <cell r="B19" t="str">
            <v>010</v>
          </cell>
          <cell r="C19">
            <v>24</v>
          </cell>
          <cell r="D19">
            <v>59.52</v>
          </cell>
          <cell r="E19">
            <v>24</v>
          </cell>
          <cell r="F19">
            <v>59.52</v>
          </cell>
          <cell r="G19">
            <v>24</v>
          </cell>
          <cell r="H19">
            <v>59.52</v>
          </cell>
          <cell r="I19">
            <v>24</v>
          </cell>
          <cell r="J19">
            <v>59.52</v>
          </cell>
        </row>
        <row r="20">
          <cell r="A20" t="str">
            <v>21-601</v>
          </cell>
          <cell r="B20" t="str">
            <v>010</v>
          </cell>
          <cell r="C20">
            <v>0</v>
          </cell>
          <cell r="D20">
            <v>0</v>
          </cell>
          <cell r="E20">
            <v>0</v>
          </cell>
          <cell r="F20">
            <v>0</v>
          </cell>
          <cell r="G20">
            <v>1</v>
          </cell>
          <cell r="H20">
            <v>2.48</v>
          </cell>
          <cell r="I20">
            <v>1</v>
          </cell>
          <cell r="J20">
            <v>2.48</v>
          </cell>
        </row>
        <row r="21">
          <cell r="A21" t="str">
            <v>21-700</v>
          </cell>
          <cell r="B21" t="str">
            <v>008</v>
          </cell>
          <cell r="C21">
            <v>80</v>
          </cell>
          <cell r="D21">
            <v>128.80000000000001</v>
          </cell>
          <cell r="E21">
            <v>80</v>
          </cell>
          <cell r="F21">
            <v>128.80000000000001</v>
          </cell>
          <cell r="G21">
            <v>0</v>
          </cell>
          <cell r="H21">
            <v>0</v>
          </cell>
          <cell r="I21">
            <v>0</v>
          </cell>
          <cell r="J21">
            <v>0</v>
          </cell>
        </row>
        <row r="22">
          <cell r="A22" t="str">
            <v>21-700</v>
          </cell>
          <cell r="B22" t="str">
            <v>008</v>
          </cell>
          <cell r="C22">
            <v>0</v>
          </cell>
          <cell r="D22">
            <v>0</v>
          </cell>
          <cell r="E22">
            <v>0</v>
          </cell>
          <cell r="F22">
            <v>0</v>
          </cell>
          <cell r="G22">
            <v>80</v>
          </cell>
          <cell r="H22">
            <v>128.80000000000001</v>
          </cell>
          <cell r="I22">
            <v>80</v>
          </cell>
          <cell r="J22">
            <v>128.80000000000001</v>
          </cell>
        </row>
        <row r="23">
          <cell r="A23" t="str">
            <v>21-700</v>
          </cell>
          <cell r="B23" t="str">
            <v>014</v>
          </cell>
          <cell r="C23">
            <v>10</v>
          </cell>
          <cell r="D23">
            <v>15.41</v>
          </cell>
          <cell r="E23">
            <v>10</v>
          </cell>
          <cell r="F23">
            <v>15.41</v>
          </cell>
          <cell r="G23">
            <v>0</v>
          </cell>
          <cell r="H23">
            <v>0</v>
          </cell>
          <cell r="I23">
            <v>0</v>
          </cell>
          <cell r="J23">
            <v>0</v>
          </cell>
        </row>
        <row r="24">
          <cell r="A24" t="str">
            <v>21-700</v>
          </cell>
          <cell r="B24" t="str">
            <v>014</v>
          </cell>
          <cell r="C24">
            <v>0</v>
          </cell>
          <cell r="D24">
            <v>0</v>
          </cell>
          <cell r="E24">
            <v>0</v>
          </cell>
          <cell r="F24">
            <v>0</v>
          </cell>
          <cell r="G24">
            <v>10</v>
          </cell>
          <cell r="H24">
            <v>15.41</v>
          </cell>
          <cell r="I24">
            <v>10</v>
          </cell>
          <cell r="J24">
            <v>15.41</v>
          </cell>
        </row>
        <row r="25">
          <cell r="A25" t="str">
            <v>24-300</v>
          </cell>
          <cell r="B25" t="str">
            <v>014</v>
          </cell>
          <cell r="C25">
            <v>40</v>
          </cell>
          <cell r="D25">
            <v>50.64</v>
          </cell>
          <cell r="E25">
            <v>40</v>
          </cell>
          <cell r="F25">
            <v>50.64</v>
          </cell>
          <cell r="G25">
            <v>0</v>
          </cell>
          <cell r="H25">
            <v>0</v>
          </cell>
          <cell r="I25">
            <v>0</v>
          </cell>
          <cell r="J25">
            <v>0</v>
          </cell>
        </row>
        <row r="26">
          <cell r="A26" t="str">
            <v>24-300</v>
          </cell>
          <cell r="B26" t="str">
            <v>014</v>
          </cell>
          <cell r="C26">
            <v>0</v>
          </cell>
          <cell r="D26">
            <v>0</v>
          </cell>
          <cell r="E26">
            <v>0</v>
          </cell>
          <cell r="F26">
            <v>0</v>
          </cell>
          <cell r="G26">
            <v>40</v>
          </cell>
          <cell r="H26">
            <v>50.64</v>
          </cell>
          <cell r="I26">
            <v>40</v>
          </cell>
          <cell r="J26">
            <v>50.64</v>
          </cell>
        </row>
        <row r="27">
          <cell r="A27" t="str">
            <v>24-300</v>
          </cell>
          <cell r="B27" t="str">
            <v>083</v>
          </cell>
          <cell r="C27">
            <v>24</v>
          </cell>
          <cell r="D27">
            <v>2.64</v>
          </cell>
          <cell r="E27">
            <v>24</v>
          </cell>
          <cell r="F27">
            <v>2.64</v>
          </cell>
          <cell r="G27">
            <v>0</v>
          </cell>
          <cell r="H27">
            <v>0</v>
          </cell>
          <cell r="I27">
            <v>0</v>
          </cell>
          <cell r="J27">
            <v>0</v>
          </cell>
        </row>
        <row r="28">
          <cell r="A28" t="str">
            <v>24-300</v>
          </cell>
          <cell r="B28" t="str">
            <v>083</v>
          </cell>
          <cell r="C28">
            <v>0</v>
          </cell>
          <cell r="D28">
            <v>0</v>
          </cell>
          <cell r="E28">
            <v>0</v>
          </cell>
          <cell r="F28">
            <v>0</v>
          </cell>
          <cell r="G28">
            <v>24</v>
          </cell>
          <cell r="H28">
            <v>2.64</v>
          </cell>
          <cell r="I28">
            <v>24</v>
          </cell>
          <cell r="J28">
            <v>2.64</v>
          </cell>
        </row>
        <row r="29">
          <cell r="A29" t="str">
            <v>24-300</v>
          </cell>
          <cell r="B29" t="str">
            <v>084</v>
          </cell>
          <cell r="C29">
            <v>2</v>
          </cell>
          <cell r="D29">
            <v>0.22</v>
          </cell>
          <cell r="E29">
            <v>2</v>
          </cell>
          <cell r="F29">
            <v>0.22</v>
          </cell>
          <cell r="G29">
            <v>0</v>
          </cell>
          <cell r="H29">
            <v>0</v>
          </cell>
          <cell r="I29">
            <v>0</v>
          </cell>
          <cell r="J29">
            <v>0</v>
          </cell>
        </row>
        <row r="30">
          <cell r="A30" t="str">
            <v>24-300</v>
          </cell>
          <cell r="B30" t="str">
            <v>084</v>
          </cell>
          <cell r="C30">
            <v>0</v>
          </cell>
          <cell r="D30">
            <v>0</v>
          </cell>
          <cell r="E30">
            <v>0</v>
          </cell>
          <cell r="F30">
            <v>0</v>
          </cell>
          <cell r="G30">
            <v>2</v>
          </cell>
          <cell r="H30">
            <v>0.22</v>
          </cell>
          <cell r="I30">
            <v>2</v>
          </cell>
          <cell r="J30">
            <v>0.22</v>
          </cell>
        </row>
        <row r="31">
          <cell r="A31" t="str">
            <v>24-300</v>
          </cell>
          <cell r="B31" t="str">
            <v>091</v>
          </cell>
          <cell r="C31">
            <v>3</v>
          </cell>
          <cell r="D31">
            <v>1.26</v>
          </cell>
          <cell r="E31">
            <v>3</v>
          </cell>
          <cell r="F31">
            <v>1.26</v>
          </cell>
          <cell r="G31">
            <v>0</v>
          </cell>
          <cell r="H31">
            <v>0</v>
          </cell>
          <cell r="I31">
            <v>0</v>
          </cell>
          <cell r="J31">
            <v>0</v>
          </cell>
        </row>
        <row r="32">
          <cell r="A32" t="str">
            <v>24-300</v>
          </cell>
          <cell r="B32" t="str">
            <v>091</v>
          </cell>
          <cell r="C32">
            <v>0</v>
          </cell>
          <cell r="D32">
            <v>0</v>
          </cell>
          <cell r="E32">
            <v>0</v>
          </cell>
          <cell r="F32">
            <v>0</v>
          </cell>
          <cell r="G32">
            <v>3</v>
          </cell>
          <cell r="H32">
            <v>1.26</v>
          </cell>
          <cell r="I32">
            <v>3</v>
          </cell>
          <cell r="J32">
            <v>1.26</v>
          </cell>
        </row>
        <row r="33">
          <cell r="A33" t="str">
            <v>24-300</v>
          </cell>
          <cell r="B33" t="str">
            <v>092</v>
          </cell>
          <cell r="C33">
            <v>2</v>
          </cell>
          <cell r="D33">
            <v>1.08</v>
          </cell>
          <cell r="E33">
            <v>2</v>
          </cell>
          <cell r="F33">
            <v>1.08</v>
          </cell>
          <cell r="G33">
            <v>0</v>
          </cell>
          <cell r="H33">
            <v>0</v>
          </cell>
          <cell r="I33">
            <v>0</v>
          </cell>
          <cell r="J33">
            <v>0</v>
          </cell>
        </row>
        <row r="34">
          <cell r="A34" t="str">
            <v>24-300</v>
          </cell>
          <cell r="B34" t="str">
            <v>092</v>
          </cell>
          <cell r="C34">
            <v>0</v>
          </cell>
          <cell r="D34">
            <v>0</v>
          </cell>
          <cell r="E34">
            <v>0</v>
          </cell>
          <cell r="F34">
            <v>0</v>
          </cell>
          <cell r="G34">
            <v>2</v>
          </cell>
          <cell r="H34">
            <v>1.08</v>
          </cell>
          <cell r="I34">
            <v>2</v>
          </cell>
          <cell r="J34">
            <v>1.08</v>
          </cell>
        </row>
        <row r="35">
          <cell r="A35" t="str">
            <v>24-300</v>
          </cell>
          <cell r="B35" t="str">
            <v>093</v>
          </cell>
          <cell r="C35">
            <v>28</v>
          </cell>
          <cell r="D35">
            <v>13.72</v>
          </cell>
          <cell r="E35">
            <v>28</v>
          </cell>
          <cell r="F35">
            <v>13.72</v>
          </cell>
          <cell r="G35">
            <v>0</v>
          </cell>
          <cell r="H35">
            <v>0</v>
          </cell>
          <cell r="I35">
            <v>0</v>
          </cell>
          <cell r="J35">
            <v>0</v>
          </cell>
        </row>
        <row r="36">
          <cell r="A36" t="str">
            <v>24-300</v>
          </cell>
          <cell r="B36" t="str">
            <v>093</v>
          </cell>
          <cell r="C36">
            <v>0</v>
          </cell>
          <cell r="D36">
            <v>0</v>
          </cell>
          <cell r="E36">
            <v>0</v>
          </cell>
          <cell r="F36">
            <v>0</v>
          </cell>
          <cell r="G36">
            <v>28</v>
          </cell>
          <cell r="H36">
            <v>13.72</v>
          </cell>
          <cell r="I36">
            <v>28</v>
          </cell>
          <cell r="J36">
            <v>13.72</v>
          </cell>
        </row>
        <row r="37">
          <cell r="A37" t="str">
            <v>24-300</v>
          </cell>
          <cell r="B37" t="str">
            <v>094</v>
          </cell>
          <cell r="C37">
            <v>2</v>
          </cell>
          <cell r="D37">
            <v>1.36</v>
          </cell>
          <cell r="E37">
            <v>2</v>
          </cell>
          <cell r="F37">
            <v>1.36</v>
          </cell>
          <cell r="G37">
            <v>2</v>
          </cell>
          <cell r="H37">
            <v>1.36</v>
          </cell>
          <cell r="I37">
            <v>2</v>
          </cell>
          <cell r="J37">
            <v>1.36</v>
          </cell>
        </row>
        <row r="38">
          <cell r="A38" t="str">
            <v>24-300</v>
          </cell>
          <cell r="B38" t="str">
            <v>105</v>
          </cell>
          <cell r="C38">
            <v>3</v>
          </cell>
          <cell r="D38">
            <v>3.1739999999999999</v>
          </cell>
          <cell r="E38">
            <v>3</v>
          </cell>
          <cell r="F38">
            <v>3.1739999999999999</v>
          </cell>
          <cell r="G38">
            <v>0</v>
          </cell>
          <cell r="H38">
            <v>0</v>
          </cell>
          <cell r="I38">
            <v>0</v>
          </cell>
          <cell r="J38">
            <v>0</v>
          </cell>
        </row>
        <row r="39">
          <cell r="A39" t="str">
            <v>24-300</v>
          </cell>
          <cell r="B39" t="str">
            <v>105</v>
          </cell>
          <cell r="C39">
            <v>0</v>
          </cell>
          <cell r="D39">
            <v>0</v>
          </cell>
          <cell r="E39">
            <v>0</v>
          </cell>
          <cell r="F39">
            <v>0</v>
          </cell>
          <cell r="G39">
            <v>3</v>
          </cell>
          <cell r="H39">
            <v>3.1739999999999999</v>
          </cell>
          <cell r="I39">
            <v>3</v>
          </cell>
          <cell r="J39">
            <v>3.1739999999999999</v>
          </cell>
        </row>
        <row r="40">
          <cell r="A40" t="str">
            <v>24-315</v>
          </cell>
          <cell r="B40" t="str">
            <v>020</v>
          </cell>
          <cell r="C40">
            <v>2</v>
          </cell>
          <cell r="D40">
            <v>8.1999999999999993</v>
          </cell>
          <cell r="E40">
            <v>2</v>
          </cell>
          <cell r="F40">
            <v>8.1999999999999993</v>
          </cell>
          <cell r="G40">
            <v>0</v>
          </cell>
          <cell r="H40">
            <v>0</v>
          </cell>
          <cell r="I40">
            <v>0</v>
          </cell>
          <cell r="J40">
            <v>0</v>
          </cell>
        </row>
        <row r="41">
          <cell r="A41" t="str">
            <v>24-315</v>
          </cell>
          <cell r="B41" t="str">
            <v>020</v>
          </cell>
          <cell r="C41">
            <v>0</v>
          </cell>
          <cell r="D41">
            <v>0</v>
          </cell>
          <cell r="E41">
            <v>0</v>
          </cell>
          <cell r="F41">
            <v>0</v>
          </cell>
          <cell r="G41">
            <v>2</v>
          </cell>
          <cell r="H41">
            <v>8.1999999999999993</v>
          </cell>
          <cell r="I41">
            <v>2</v>
          </cell>
          <cell r="J41">
            <v>8.1999999999999993</v>
          </cell>
        </row>
        <row r="42">
          <cell r="A42" t="str">
            <v>24-320</v>
          </cell>
          <cell r="B42" t="str">
            <v>069</v>
          </cell>
          <cell r="C42">
            <v>125</v>
          </cell>
          <cell r="D42">
            <v>1195</v>
          </cell>
          <cell r="E42">
            <v>125</v>
          </cell>
          <cell r="F42">
            <v>1195</v>
          </cell>
          <cell r="G42">
            <v>125</v>
          </cell>
          <cell r="H42">
            <v>1195</v>
          </cell>
          <cell r="I42">
            <v>125</v>
          </cell>
          <cell r="J42">
            <v>1195</v>
          </cell>
        </row>
        <row r="43">
          <cell r="A43" t="str">
            <v>24-370</v>
          </cell>
          <cell r="B43" t="str">
            <v>005</v>
          </cell>
          <cell r="C43">
            <v>1</v>
          </cell>
          <cell r="D43">
            <v>0.82</v>
          </cell>
          <cell r="E43">
            <v>1</v>
          </cell>
          <cell r="F43">
            <v>0.82</v>
          </cell>
          <cell r="G43">
            <v>1</v>
          </cell>
          <cell r="H43">
            <v>0.82</v>
          </cell>
          <cell r="I43">
            <v>1</v>
          </cell>
          <cell r="J43">
            <v>0.82</v>
          </cell>
        </row>
        <row r="44">
          <cell r="A44" t="str">
            <v>24-380</v>
          </cell>
          <cell r="B44" t="str">
            <v>033</v>
          </cell>
          <cell r="C44">
            <v>2</v>
          </cell>
          <cell r="D44">
            <v>0.2</v>
          </cell>
          <cell r="E44">
            <v>2</v>
          </cell>
          <cell r="F44">
            <v>0.2</v>
          </cell>
          <cell r="G44">
            <v>0</v>
          </cell>
          <cell r="H44">
            <v>0</v>
          </cell>
          <cell r="I44">
            <v>0</v>
          </cell>
          <cell r="J44">
            <v>0</v>
          </cell>
        </row>
        <row r="45">
          <cell r="A45" t="str">
            <v>24-380</v>
          </cell>
          <cell r="B45" t="str">
            <v>033</v>
          </cell>
          <cell r="C45">
            <v>2</v>
          </cell>
          <cell r="D45">
            <v>0.2</v>
          </cell>
          <cell r="E45">
            <v>2</v>
          </cell>
          <cell r="F45">
            <v>0.2</v>
          </cell>
          <cell r="G45">
            <v>2</v>
          </cell>
          <cell r="H45">
            <v>0.2</v>
          </cell>
          <cell r="I45">
            <v>2</v>
          </cell>
          <cell r="J45">
            <v>0.2</v>
          </cell>
        </row>
        <row r="46">
          <cell r="A46" t="str">
            <v>24-380</v>
          </cell>
          <cell r="B46" t="str">
            <v>033</v>
          </cell>
          <cell r="C46">
            <v>0</v>
          </cell>
          <cell r="D46">
            <v>0</v>
          </cell>
          <cell r="E46">
            <v>0</v>
          </cell>
          <cell r="F46">
            <v>0</v>
          </cell>
          <cell r="G46">
            <v>2</v>
          </cell>
          <cell r="H46">
            <v>0.2</v>
          </cell>
          <cell r="I46">
            <v>2</v>
          </cell>
          <cell r="J46">
            <v>0.2</v>
          </cell>
        </row>
        <row r="47">
          <cell r="A47" t="str">
            <v>24-700</v>
          </cell>
          <cell r="B47" t="str">
            <v>001</v>
          </cell>
          <cell r="C47">
            <v>20</v>
          </cell>
          <cell r="D47">
            <v>3.04</v>
          </cell>
          <cell r="E47">
            <v>20</v>
          </cell>
          <cell r="F47">
            <v>3.04</v>
          </cell>
          <cell r="G47">
            <v>20</v>
          </cell>
          <cell r="H47">
            <v>3.04</v>
          </cell>
          <cell r="I47">
            <v>20</v>
          </cell>
          <cell r="J47">
            <v>3.04</v>
          </cell>
        </row>
        <row r="48">
          <cell r="A48" t="str">
            <v>24-700</v>
          </cell>
          <cell r="B48" t="str">
            <v>013</v>
          </cell>
          <cell r="C48">
            <v>50</v>
          </cell>
          <cell r="D48">
            <v>1.65</v>
          </cell>
          <cell r="E48">
            <v>50</v>
          </cell>
          <cell r="F48">
            <v>1.65</v>
          </cell>
          <cell r="G48">
            <v>50</v>
          </cell>
          <cell r="H48">
            <v>1.65</v>
          </cell>
          <cell r="I48">
            <v>50</v>
          </cell>
          <cell r="J48">
            <v>1.65</v>
          </cell>
        </row>
        <row r="49">
          <cell r="A49" t="str">
            <v>28-700</v>
          </cell>
          <cell r="B49" t="str">
            <v>009</v>
          </cell>
          <cell r="C49">
            <v>0</v>
          </cell>
          <cell r="D49">
            <v>0</v>
          </cell>
          <cell r="E49">
            <v>0</v>
          </cell>
          <cell r="F49">
            <v>0</v>
          </cell>
          <cell r="G49">
            <v>10</v>
          </cell>
          <cell r="H49">
            <v>0.64</v>
          </cell>
          <cell r="I49">
            <v>10</v>
          </cell>
          <cell r="J49">
            <v>0.64</v>
          </cell>
        </row>
        <row r="50">
          <cell r="A50" t="str">
            <v>35-851</v>
          </cell>
          <cell r="B50" t="str">
            <v>N01</v>
          </cell>
          <cell r="C50">
            <v>80</v>
          </cell>
          <cell r="D50">
            <v>321.2</v>
          </cell>
          <cell r="E50">
            <v>80</v>
          </cell>
          <cell r="F50">
            <v>321.2</v>
          </cell>
          <cell r="G50">
            <v>80</v>
          </cell>
          <cell r="H50">
            <v>321.2</v>
          </cell>
          <cell r="I50">
            <v>80</v>
          </cell>
          <cell r="J50">
            <v>321.2</v>
          </cell>
        </row>
        <row r="51">
          <cell r="A51" t="str">
            <v>36-392</v>
          </cell>
          <cell r="B51" t="str">
            <v>N100</v>
          </cell>
          <cell r="C51">
            <v>2</v>
          </cell>
          <cell r="D51">
            <v>51.48</v>
          </cell>
          <cell r="E51">
            <v>2</v>
          </cell>
          <cell r="F51">
            <v>51.48</v>
          </cell>
          <cell r="G51">
            <v>2</v>
          </cell>
          <cell r="H51">
            <v>51.48</v>
          </cell>
          <cell r="I51">
            <v>2</v>
          </cell>
          <cell r="J51">
            <v>51.48</v>
          </cell>
        </row>
        <row r="52">
          <cell r="A52" t="str">
            <v>36-392</v>
          </cell>
          <cell r="B52" t="str">
            <v>N101</v>
          </cell>
          <cell r="C52">
            <v>2</v>
          </cell>
          <cell r="D52">
            <v>59.73</v>
          </cell>
          <cell r="E52">
            <v>2</v>
          </cell>
          <cell r="F52">
            <v>59.73</v>
          </cell>
          <cell r="G52">
            <v>2</v>
          </cell>
          <cell r="H52">
            <v>59.73</v>
          </cell>
          <cell r="I52">
            <v>2</v>
          </cell>
          <cell r="J52">
            <v>59.73</v>
          </cell>
        </row>
        <row r="53">
          <cell r="A53" t="str">
            <v>36-392</v>
          </cell>
          <cell r="B53" t="str">
            <v>N102</v>
          </cell>
          <cell r="C53">
            <v>2</v>
          </cell>
          <cell r="D53">
            <v>59.79</v>
          </cell>
          <cell r="E53">
            <v>2</v>
          </cell>
          <cell r="F53">
            <v>59.79</v>
          </cell>
          <cell r="G53">
            <v>2</v>
          </cell>
          <cell r="H53">
            <v>59.79</v>
          </cell>
          <cell r="I53">
            <v>2</v>
          </cell>
          <cell r="J53">
            <v>59.79</v>
          </cell>
        </row>
        <row r="54">
          <cell r="A54" t="str">
            <v>36-392</v>
          </cell>
          <cell r="B54" t="str">
            <v>N103</v>
          </cell>
          <cell r="C54">
            <v>2</v>
          </cell>
          <cell r="D54">
            <v>59.73</v>
          </cell>
          <cell r="E54">
            <v>2</v>
          </cell>
          <cell r="F54">
            <v>59.73</v>
          </cell>
          <cell r="G54">
            <v>2</v>
          </cell>
          <cell r="H54">
            <v>59.73</v>
          </cell>
          <cell r="I54">
            <v>2</v>
          </cell>
          <cell r="J54">
            <v>59.73</v>
          </cell>
        </row>
        <row r="55">
          <cell r="A55" t="str">
            <v>36-392</v>
          </cell>
          <cell r="B55" t="str">
            <v>N104</v>
          </cell>
          <cell r="C55">
            <v>2</v>
          </cell>
          <cell r="D55">
            <v>689.30399999999997</v>
          </cell>
          <cell r="E55">
            <v>2</v>
          </cell>
          <cell r="F55">
            <v>689.30399999999997</v>
          </cell>
          <cell r="G55">
            <v>0</v>
          </cell>
          <cell r="H55">
            <v>0</v>
          </cell>
          <cell r="I55">
            <v>0</v>
          </cell>
          <cell r="J55">
            <v>0</v>
          </cell>
        </row>
        <row r="56">
          <cell r="A56" t="str">
            <v>36-392</v>
          </cell>
          <cell r="B56" t="str">
            <v>N104</v>
          </cell>
          <cell r="C56">
            <v>0</v>
          </cell>
          <cell r="D56">
            <v>0</v>
          </cell>
          <cell r="E56">
            <v>0</v>
          </cell>
          <cell r="F56">
            <v>0</v>
          </cell>
          <cell r="G56">
            <v>2</v>
          </cell>
          <cell r="H56">
            <v>689.30399999999997</v>
          </cell>
          <cell r="I56">
            <v>2</v>
          </cell>
          <cell r="J56">
            <v>689.30399999999997</v>
          </cell>
        </row>
        <row r="57">
          <cell r="A57" t="str">
            <v>36-392</v>
          </cell>
          <cell r="B57" t="str">
            <v>N111</v>
          </cell>
          <cell r="C57">
            <v>2</v>
          </cell>
          <cell r="D57">
            <v>74.781999999999996</v>
          </cell>
          <cell r="E57">
            <v>2</v>
          </cell>
          <cell r="F57">
            <v>74.781999999999996</v>
          </cell>
          <cell r="G57">
            <v>0</v>
          </cell>
          <cell r="H57">
            <v>0</v>
          </cell>
          <cell r="I57">
            <v>0</v>
          </cell>
          <cell r="J57">
            <v>0</v>
          </cell>
        </row>
        <row r="58">
          <cell r="A58" t="str">
            <v>36-392</v>
          </cell>
          <cell r="B58" t="str">
            <v>N111</v>
          </cell>
          <cell r="C58">
            <v>0</v>
          </cell>
          <cell r="D58">
            <v>0</v>
          </cell>
          <cell r="E58">
            <v>0</v>
          </cell>
          <cell r="F58">
            <v>0</v>
          </cell>
          <cell r="G58">
            <v>2</v>
          </cell>
          <cell r="H58">
            <v>74.781999999999996</v>
          </cell>
          <cell r="I58">
            <v>2</v>
          </cell>
          <cell r="J58">
            <v>74.781999999999996</v>
          </cell>
        </row>
        <row r="59">
          <cell r="A59" t="str">
            <v>36-392</v>
          </cell>
          <cell r="B59" t="str">
            <v>N112</v>
          </cell>
          <cell r="C59">
            <v>2</v>
          </cell>
          <cell r="D59">
            <v>238.14599999999999</v>
          </cell>
          <cell r="E59">
            <v>2</v>
          </cell>
          <cell r="F59">
            <v>238.14599999999999</v>
          </cell>
          <cell r="G59">
            <v>0</v>
          </cell>
          <cell r="H59">
            <v>0</v>
          </cell>
          <cell r="I59">
            <v>0</v>
          </cell>
          <cell r="J59">
            <v>0</v>
          </cell>
        </row>
        <row r="60">
          <cell r="A60" t="str">
            <v>36-392</v>
          </cell>
          <cell r="B60" t="str">
            <v>N112</v>
          </cell>
          <cell r="C60">
            <v>0</v>
          </cell>
          <cell r="D60">
            <v>0</v>
          </cell>
          <cell r="E60">
            <v>0</v>
          </cell>
          <cell r="F60">
            <v>0</v>
          </cell>
          <cell r="G60">
            <v>2</v>
          </cell>
          <cell r="H60">
            <v>238.14599999999999</v>
          </cell>
          <cell r="I60">
            <v>2</v>
          </cell>
          <cell r="J60">
            <v>238.14599999999999</v>
          </cell>
        </row>
        <row r="61">
          <cell r="A61" t="str">
            <v>36-392</v>
          </cell>
          <cell r="B61" t="str">
            <v>N114</v>
          </cell>
          <cell r="C61">
            <v>2</v>
          </cell>
          <cell r="D61">
            <v>52.091999999999999</v>
          </cell>
          <cell r="E61">
            <v>2</v>
          </cell>
          <cell r="F61">
            <v>52.091999999999999</v>
          </cell>
          <cell r="G61">
            <v>0</v>
          </cell>
          <cell r="H61">
            <v>0</v>
          </cell>
          <cell r="I61">
            <v>0</v>
          </cell>
          <cell r="J61">
            <v>0</v>
          </cell>
        </row>
        <row r="62">
          <cell r="A62" t="str">
            <v>36-392</v>
          </cell>
          <cell r="B62" t="str">
            <v>N114</v>
          </cell>
          <cell r="C62">
            <v>0</v>
          </cell>
          <cell r="D62">
            <v>0</v>
          </cell>
          <cell r="E62">
            <v>0</v>
          </cell>
          <cell r="F62">
            <v>0</v>
          </cell>
          <cell r="G62">
            <v>2</v>
          </cell>
          <cell r="H62">
            <v>52.091999999999999</v>
          </cell>
          <cell r="I62">
            <v>2</v>
          </cell>
          <cell r="J62">
            <v>52.091999999999999</v>
          </cell>
        </row>
        <row r="63">
          <cell r="A63" t="str">
            <v>36-392</v>
          </cell>
          <cell r="B63" t="str">
            <v>N115</v>
          </cell>
          <cell r="C63">
            <v>2</v>
          </cell>
          <cell r="D63">
            <v>174.44200000000001</v>
          </cell>
          <cell r="E63">
            <v>2</v>
          </cell>
          <cell r="F63">
            <v>174.44200000000001</v>
          </cell>
          <cell r="G63">
            <v>0</v>
          </cell>
          <cell r="H63">
            <v>0</v>
          </cell>
          <cell r="I63">
            <v>0</v>
          </cell>
          <cell r="J63">
            <v>0</v>
          </cell>
        </row>
        <row r="64">
          <cell r="A64" t="str">
            <v>36-392</v>
          </cell>
          <cell r="B64" t="str">
            <v>N115</v>
          </cell>
          <cell r="C64">
            <v>0</v>
          </cell>
          <cell r="D64">
            <v>0</v>
          </cell>
          <cell r="E64">
            <v>0</v>
          </cell>
          <cell r="F64">
            <v>0</v>
          </cell>
          <cell r="G64">
            <v>2</v>
          </cell>
          <cell r="H64">
            <v>174.44200000000001</v>
          </cell>
          <cell r="I64">
            <v>2</v>
          </cell>
          <cell r="J64">
            <v>174.44200000000001</v>
          </cell>
        </row>
        <row r="65">
          <cell r="A65" t="str">
            <v>36-392</v>
          </cell>
          <cell r="B65" t="str">
            <v>N116</v>
          </cell>
          <cell r="C65">
            <v>2</v>
          </cell>
          <cell r="D65">
            <v>9</v>
          </cell>
          <cell r="E65">
            <v>2</v>
          </cell>
          <cell r="F65">
            <v>9</v>
          </cell>
          <cell r="G65">
            <v>2</v>
          </cell>
          <cell r="H65">
            <v>9</v>
          </cell>
          <cell r="I65">
            <v>2</v>
          </cell>
          <cell r="J65">
            <v>9</v>
          </cell>
        </row>
        <row r="66">
          <cell r="A66" t="str">
            <v>36-392</v>
          </cell>
          <cell r="B66" t="str">
            <v>N117</v>
          </cell>
          <cell r="C66">
            <v>4</v>
          </cell>
          <cell r="D66">
            <v>325.404</v>
          </cell>
          <cell r="E66">
            <v>4</v>
          </cell>
          <cell r="F66">
            <v>325.404</v>
          </cell>
          <cell r="G66">
            <v>0</v>
          </cell>
          <cell r="H66">
            <v>0</v>
          </cell>
          <cell r="I66">
            <v>0</v>
          </cell>
          <cell r="J66">
            <v>0</v>
          </cell>
        </row>
        <row r="67">
          <cell r="A67" t="str">
            <v>36-392</v>
          </cell>
          <cell r="B67" t="str">
            <v>N117</v>
          </cell>
          <cell r="C67">
            <v>4</v>
          </cell>
          <cell r="D67">
            <v>325.404</v>
          </cell>
          <cell r="E67">
            <v>4</v>
          </cell>
          <cell r="F67">
            <v>325.404</v>
          </cell>
          <cell r="G67">
            <v>0</v>
          </cell>
          <cell r="H67">
            <v>0</v>
          </cell>
          <cell r="I67">
            <v>0</v>
          </cell>
          <cell r="J67">
            <v>0</v>
          </cell>
        </row>
        <row r="68">
          <cell r="A68" t="str">
            <v>36-392</v>
          </cell>
          <cell r="B68" t="str">
            <v>N117</v>
          </cell>
          <cell r="C68">
            <v>0</v>
          </cell>
          <cell r="D68">
            <v>0</v>
          </cell>
          <cell r="E68">
            <v>0</v>
          </cell>
          <cell r="F68">
            <v>0</v>
          </cell>
          <cell r="G68">
            <v>8</v>
          </cell>
          <cell r="H68">
            <v>650.80799999999999</v>
          </cell>
          <cell r="I68">
            <v>8</v>
          </cell>
          <cell r="J68">
            <v>650.80799999999999</v>
          </cell>
        </row>
        <row r="69">
          <cell r="A69" t="str">
            <v>36-392</v>
          </cell>
          <cell r="B69" t="str">
            <v>N118</v>
          </cell>
          <cell r="C69">
            <v>2</v>
          </cell>
          <cell r="D69">
            <v>1.26</v>
          </cell>
          <cell r="E69">
            <v>2</v>
          </cell>
          <cell r="F69">
            <v>1.26</v>
          </cell>
          <cell r="G69">
            <v>2</v>
          </cell>
          <cell r="H69">
            <v>1.26</v>
          </cell>
          <cell r="I69">
            <v>2</v>
          </cell>
          <cell r="J69">
            <v>1.26</v>
          </cell>
        </row>
        <row r="70">
          <cell r="A70" t="str">
            <v>36-392</v>
          </cell>
          <cell r="B70" t="str">
            <v>N119</v>
          </cell>
          <cell r="C70">
            <v>2</v>
          </cell>
          <cell r="D70">
            <v>897.63599999999997</v>
          </cell>
          <cell r="E70">
            <v>2</v>
          </cell>
          <cell r="F70">
            <v>897.63599999999997</v>
          </cell>
          <cell r="G70">
            <v>0</v>
          </cell>
          <cell r="H70">
            <v>0</v>
          </cell>
          <cell r="I70">
            <v>0</v>
          </cell>
          <cell r="J70">
            <v>0</v>
          </cell>
        </row>
        <row r="71">
          <cell r="A71" t="str">
            <v>36-392</v>
          </cell>
          <cell r="B71" t="str">
            <v>N119</v>
          </cell>
          <cell r="C71">
            <v>0</v>
          </cell>
          <cell r="D71">
            <v>0</v>
          </cell>
          <cell r="E71">
            <v>0</v>
          </cell>
          <cell r="F71">
            <v>0</v>
          </cell>
          <cell r="G71">
            <v>2</v>
          </cell>
          <cell r="H71">
            <v>897.63599999999997</v>
          </cell>
          <cell r="I71">
            <v>2</v>
          </cell>
          <cell r="J71">
            <v>897.63599999999997</v>
          </cell>
        </row>
        <row r="72">
          <cell r="A72" t="str">
            <v>36-392</v>
          </cell>
          <cell r="B72" t="str">
            <v>N121</v>
          </cell>
          <cell r="C72">
            <v>2</v>
          </cell>
          <cell r="D72">
            <v>1219.68</v>
          </cell>
          <cell r="E72">
            <v>2</v>
          </cell>
          <cell r="F72">
            <v>1219.68</v>
          </cell>
          <cell r="G72">
            <v>2</v>
          </cell>
          <cell r="H72">
            <v>1219.68</v>
          </cell>
          <cell r="I72">
            <v>2</v>
          </cell>
          <cell r="J72">
            <v>1219.68</v>
          </cell>
        </row>
        <row r="73">
          <cell r="A73" t="str">
            <v>36-392</v>
          </cell>
          <cell r="B73" t="str">
            <v>N122</v>
          </cell>
          <cell r="C73">
            <v>1</v>
          </cell>
          <cell r="D73">
            <v>392.05700000000002</v>
          </cell>
          <cell r="E73">
            <v>1</v>
          </cell>
          <cell r="F73">
            <v>392.05700000000002</v>
          </cell>
          <cell r="G73">
            <v>1</v>
          </cell>
          <cell r="H73">
            <v>392.05700000000002</v>
          </cell>
          <cell r="I73">
            <v>1</v>
          </cell>
          <cell r="J73">
            <v>392.05700000000002</v>
          </cell>
        </row>
        <row r="74">
          <cell r="A74" t="str">
            <v>36-392</v>
          </cell>
          <cell r="B74" t="str">
            <v>N123</v>
          </cell>
          <cell r="C74">
            <v>3</v>
          </cell>
          <cell r="D74">
            <v>89.55</v>
          </cell>
          <cell r="E74">
            <v>3</v>
          </cell>
          <cell r="F74">
            <v>89.55</v>
          </cell>
          <cell r="G74">
            <v>3</v>
          </cell>
          <cell r="H74">
            <v>89.55</v>
          </cell>
          <cell r="I74">
            <v>3</v>
          </cell>
          <cell r="J74">
            <v>89.55</v>
          </cell>
        </row>
        <row r="75">
          <cell r="A75" t="str">
            <v>36-392</v>
          </cell>
          <cell r="B75" t="str">
            <v>N124</v>
          </cell>
          <cell r="C75">
            <v>2</v>
          </cell>
          <cell r="D75">
            <v>30.18</v>
          </cell>
          <cell r="E75">
            <v>2</v>
          </cell>
          <cell r="F75">
            <v>30.18</v>
          </cell>
          <cell r="G75">
            <v>2</v>
          </cell>
          <cell r="H75">
            <v>30.18</v>
          </cell>
          <cell r="I75">
            <v>2</v>
          </cell>
          <cell r="J75">
            <v>30.18</v>
          </cell>
        </row>
        <row r="76">
          <cell r="A76" t="str">
            <v>36-392</v>
          </cell>
          <cell r="B76" t="str">
            <v>N125</v>
          </cell>
          <cell r="C76">
            <v>1</v>
          </cell>
          <cell r="D76">
            <v>33.481999999999999</v>
          </cell>
          <cell r="E76">
            <v>1</v>
          </cell>
          <cell r="F76">
            <v>33.481999999999999</v>
          </cell>
          <cell r="G76">
            <v>1</v>
          </cell>
          <cell r="H76">
            <v>33.481999999999999</v>
          </cell>
          <cell r="I76">
            <v>1</v>
          </cell>
          <cell r="J76">
            <v>33.481999999999999</v>
          </cell>
        </row>
        <row r="77">
          <cell r="A77" t="str">
            <v>36-392</v>
          </cell>
          <cell r="B77" t="str">
            <v>N126</v>
          </cell>
          <cell r="C77">
            <v>2</v>
          </cell>
          <cell r="D77">
            <v>53.76</v>
          </cell>
          <cell r="E77">
            <v>2</v>
          </cell>
          <cell r="F77">
            <v>53.76</v>
          </cell>
          <cell r="G77">
            <v>2</v>
          </cell>
          <cell r="H77">
            <v>53.76</v>
          </cell>
          <cell r="I77">
            <v>2</v>
          </cell>
          <cell r="J77">
            <v>53.76</v>
          </cell>
        </row>
        <row r="78">
          <cell r="A78" t="str">
            <v>36-392</v>
          </cell>
          <cell r="B78" t="str">
            <v>N127</v>
          </cell>
          <cell r="C78">
            <v>2</v>
          </cell>
          <cell r="D78">
            <v>56.79</v>
          </cell>
          <cell r="E78">
            <v>2</v>
          </cell>
          <cell r="F78">
            <v>56.79</v>
          </cell>
          <cell r="G78">
            <v>2</v>
          </cell>
          <cell r="H78">
            <v>56.79</v>
          </cell>
          <cell r="I78">
            <v>2</v>
          </cell>
          <cell r="J78">
            <v>56.79</v>
          </cell>
        </row>
        <row r="79">
          <cell r="A79" t="str">
            <v>36-392</v>
          </cell>
          <cell r="B79" t="str">
            <v>N128</v>
          </cell>
          <cell r="C79">
            <v>1</v>
          </cell>
          <cell r="D79">
            <v>28.364999999999998</v>
          </cell>
          <cell r="E79">
            <v>1</v>
          </cell>
          <cell r="F79">
            <v>28.364999999999998</v>
          </cell>
          <cell r="G79">
            <v>1</v>
          </cell>
          <cell r="H79">
            <v>28.364999999999998</v>
          </cell>
          <cell r="I79">
            <v>1</v>
          </cell>
          <cell r="J79">
            <v>28.364999999999998</v>
          </cell>
        </row>
        <row r="80">
          <cell r="A80" t="str">
            <v>36-392</v>
          </cell>
          <cell r="B80" t="str">
            <v>N129</v>
          </cell>
          <cell r="C80">
            <v>1</v>
          </cell>
          <cell r="D80">
            <v>381.786</v>
          </cell>
          <cell r="E80">
            <v>1</v>
          </cell>
          <cell r="F80">
            <v>381.786</v>
          </cell>
          <cell r="G80">
            <v>1</v>
          </cell>
          <cell r="H80">
            <v>381.786</v>
          </cell>
          <cell r="I80">
            <v>1</v>
          </cell>
          <cell r="J80">
            <v>381.786</v>
          </cell>
        </row>
        <row r="81">
          <cell r="A81" t="str">
            <v>36-392</v>
          </cell>
          <cell r="B81" t="str">
            <v>N130</v>
          </cell>
          <cell r="C81">
            <v>2</v>
          </cell>
          <cell r="D81">
            <v>53.73</v>
          </cell>
          <cell r="E81">
            <v>2</v>
          </cell>
          <cell r="F81">
            <v>53.73</v>
          </cell>
          <cell r="G81">
            <v>2</v>
          </cell>
          <cell r="H81">
            <v>53.73</v>
          </cell>
          <cell r="I81">
            <v>2</v>
          </cell>
          <cell r="J81">
            <v>53.73</v>
          </cell>
        </row>
        <row r="82">
          <cell r="A82" t="str">
            <v>36-392</v>
          </cell>
          <cell r="B82" t="str">
            <v>N132</v>
          </cell>
          <cell r="C82">
            <v>4</v>
          </cell>
          <cell r="D82">
            <v>107.4</v>
          </cell>
          <cell r="E82">
            <v>4</v>
          </cell>
          <cell r="F82">
            <v>107.4</v>
          </cell>
          <cell r="G82">
            <v>4</v>
          </cell>
          <cell r="H82">
            <v>107.4</v>
          </cell>
          <cell r="I82">
            <v>4</v>
          </cell>
          <cell r="J82">
            <v>107.4</v>
          </cell>
        </row>
        <row r="83">
          <cell r="A83" t="str">
            <v>36-392</v>
          </cell>
          <cell r="B83" t="str">
            <v>N133</v>
          </cell>
          <cell r="C83">
            <v>6</v>
          </cell>
          <cell r="D83">
            <v>161.37</v>
          </cell>
          <cell r="E83">
            <v>6</v>
          </cell>
          <cell r="F83">
            <v>161.37</v>
          </cell>
          <cell r="G83">
            <v>6</v>
          </cell>
          <cell r="H83">
            <v>161.37</v>
          </cell>
          <cell r="I83">
            <v>6</v>
          </cell>
          <cell r="J83">
            <v>161.37</v>
          </cell>
        </row>
        <row r="84">
          <cell r="A84" t="str">
            <v>36-392</v>
          </cell>
          <cell r="B84" t="str">
            <v>N135</v>
          </cell>
          <cell r="C84">
            <v>1</v>
          </cell>
          <cell r="D84">
            <v>33.448999999999998</v>
          </cell>
          <cell r="E84">
            <v>1</v>
          </cell>
          <cell r="F84">
            <v>33.448999999999998</v>
          </cell>
          <cell r="G84">
            <v>1</v>
          </cell>
          <cell r="H84">
            <v>33.448999999999998</v>
          </cell>
          <cell r="I84">
            <v>0</v>
          </cell>
          <cell r="J84">
            <v>0</v>
          </cell>
        </row>
        <row r="85">
          <cell r="A85" t="str">
            <v>36-392</v>
          </cell>
          <cell r="B85" t="str">
            <v>N135</v>
          </cell>
          <cell r="C85">
            <v>0</v>
          </cell>
          <cell r="D85">
            <v>0</v>
          </cell>
          <cell r="E85">
            <v>0</v>
          </cell>
          <cell r="F85">
            <v>0</v>
          </cell>
          <cell r="G85">
            <v>0</v>
          </cell>
          <cell r="H85">
            <v>0</v>
          </cell>
          <cell r="I85">
            <v>1</v>
          </cell>
          <cell r="J85">
            <v>33.448999999999998</v>
          </cell>
        </row>
        <row r="86">
          <cell r="A86" t="str">
            <v>36-392</v>
          </cell>
          <cell r="B86" t="str">
            <v>N136</v>
          </cell>
          <cell r="C86">
            <v>2</v>
          </cell>
          <cell r="D86">
            <v>162.702</v>
          </cell>
          <cell r="E86">
            <v>2</v>
          </cell>
          <cell r="F86">
            <v>162.702</v>
          </cell>
          <cell r="G86">
            <v>2</v>
          </cell>
          <cell r="H86">
            <v>162.702</v>
          </cell>
          <cell r="I86">
            <v>2</v>
          </cell>
          <cell r="J86">
            <v>162.702</v>
          </cell>
        </row>
        <row r="87">
          <cell r="A87" t="str">
            <v>36-392</v>
          </cell>
          <cell r="B87" t="str">
            <v>N137</v>
          </cell>
          <cell r="C87">
            <v>4</v>
          </cell>
          <cell r="D87">
            <v>2.52</v>
          </cell>
          <cell r="E87">
            <v>4</v>
          </cell>
          <cell r="F87">
            <v>2.52</v>
          </cell>
          <cell r="G87">
            <v>4</v>
          </cell>
          <cell r="H87">
            <v>2.52</v>
          </cell>
          <cell r="I87">
            <v>4</v>
          </cell>
          <cell r="J87">
            <v>2.52</v>
          </cell>
        </row>
        <row r="88">
          <cell r="A88" t="str">
            <v>36-392</v>
          </cell>
          <cell r="B88" t="str">
            <v>N138</v>
          </cell>
          <cell r="C88">
            <v>2</v>
          </cell>
          <cell r="D88">
            <v>3.84</v>
          </cell>
          <cell r="E88">
            <v>2</v>
          </cell>
          <cell r="F88">
            <v>3.84</v>
          </cell>
          <cell r="G88">
            <v>2</v>
          </cell>
          <cell r="H88">
            <v>3.84</v>
          </cell>
          <cell r="I88">
            <v>2</v>
          </cell>
          <cell r="J88">
            <v>3.84</v>
          </cell>
        </row>
        <row r="89">
          <cell r="A89" t="str">
            <v>36-392</v>
          </cell>
          <cell r="B89" t="str">
            <v>N139</v>
          </cell>
          <cell r="C89">
            <v>10</v>
          </cell>
          <cell r="D89">
            <v>24</v>
          </cell>
          <cell r="E89">
            <v>10</v>
          </cell>
          <cell r="F89">
            <v>24</v>
          </cell>
          <cell r="G89">
            <v>10</v>
          </cell>
          <cell r="H89">
            <v>24</v>
          </cell>
          <cell r="I89">
            <v>10</v>
          </cell>
          <cell r="J89">
            <v>24</v>
          </cell>
        </row>
        <row r="90">
          <cell r="A90" t="str">
            <v>36-392</v>
          </cell>
          <cell r="B90" t="str">
            <v>N140</v>
          </cell>
          <cell r="C90">
            <v>4</v>
          </cell>
          <cell r="D90">
            <v>17.268000000000001</v>
          </cell>
          <cell r="E90">
            <v>4</v>
          </cell>
          <cell r="F90">
            <v>17.268000000000001</v>
          </cell>
          <cell r="G90">
            <v>4</v>
          </cell>
          <cell r="H90">
            <v>17.268000000000001</v>
          </cell>
          <cell r="I90">
            <v>4</v>
          </cell>
          <cell r="J90">
            <v>17.268000000000001</v>
          </cell>
        </row>
        <row r="91">
          <cell r="A91" t="str">
            <v>36-392</v>
          </cell>
          <cell r="B91" t="str">
            <v>N48</v>
          </cell>
          <cell r="C91">
            <v>2</v>
          </cell>
          <cell r="D91">
            <v>3183.24</v>
          </cell>
          <cell r="E91">
            <v>2</v>
          </cell>
          <cell r="F91">
            <v>3183.24</v>
          </cell>
          <cell r="G91">
            <v>2</v>
          </cell>
          <cell r="H91">
            <v>3183.24</v>
          </cell>
          <cell r="I91">
            <v>2</v>
          </cell>
          <cell r="J91">
            <v>3183.24</v>
          </cell>
        </row>
        <row r="92">
          <cell r="A92" t="str">
            <v>36-392</v>
          </cell>
          <cell r="B92" t="str">
            <v>N49</v>
          </cell>
          <cell r="C92">
            <v>2</v>
          </cell>
          <cell r="D92">
            <v>350.55</v>
          </cell>
          <cell r="E92">
            <v>2</v>
          </cell>
          <cell r="F92">
            <v>350.55</v>
          </cell>
          <cell r="G92">
            <v>2</v>
          </cell>
          <cell r="H92">
            <v>350.55</v>
          </cell>
          <cell r="I92">
            <v>2</v>
          </cell>
          <cell r="J92">
            <v>350.55</v>
          </cell>
        </row>
        <row r="93">
          <cell r="A93" t="str">
            <v>36-392</v>
          </cell>
          <cell r="B93" t="str">
            <v>N50</v>
          </cell>
          <cell r="C93">
            <v>14</v>
          </cell>
          <cell r="D93">
            <v>312.27</v>
          </cell>
          <cell r="E93">
            <v>14</v>
          </cell>
          <cell r="F93">
            <v>312.27</v>
          </cell>
          <cell r="G93">
            <v>14</v>
          </cell>
          <cell r="H93">
            <v>312.27</v>
          </cell>
          <cell r="I93">
            <v>14</v>
          </cell>
          <cell r="J93">
            <v>312.27</v>
          </cell>
        </row>
        <row r="94">
          <cell r="A94" t="str">
            <v>36-392</v>
          </cell>
          <cell r="B94" t="str">
            <v>N51</v>
          </cell>
          <cell r="C94">
            <v>2</v>
          </cell>
          <cell r="D94">
            <v>356.7</v>
          </cell>
          <cell r="E94">
            <v>2</v>
          </cell>
          <cell r="F94">
            <v>356.7</v>
          </cell>
          <cell r="G94">
            <v>2</v>
          </cell>
          <cell r="H94">
            <v>356.7</v>
          </cell>
          <cell r="I94">
            <v>2</v>
          </cell>
          <cell r="J94">
            <v>356.7</v>
          </cell>
        </row>
        <row r="95">
          <cell r="A95" t="str">
            <v>36-392</v>
          </cell>
          <cell r="B95" t="str">
            <v>N52</v>
          </cell>
          <cell r="C95">
            <v>2</v>
          </cell>
          <cell r="D95">
            <v>59.7</v>
          </cell>
          <cell r="E95">
            <v>2</v>
          </cell>
          <cell r="F95">
            <v>59.7</v>
          </cell>
          <cell r="G95">
            <v>2</v>
          </cell>
          <cell r="H95">
            <v>59.7</v>
          </cell>
          <cell r="I95">
            <v>2</v>
          </cell>
          <cell r="J95">
            <v>59.7</v>
          </cell>
        </row>
        <row r="96">
          <cell r="A96" t="str">
            <v>36-392</v>
          </cell>
          <cell r="B96" t="str">
            <v>N53</v>
          </cell>
          <cell r="C96">
            <v>2</v>
          </cell>
          <cell r="D96">
            <v>48.9</v>
          </cell>
          <cell r="E96">
            <v>2</v>
          </cell>
          <cell r="F96">
            <v>48.9</v>
          </cell>
          <cell r="G96">
            <v>2</v>
          </cell>
          <cell r="H96">
            <v>48.9</v>
          </cell>
          <cell r="I96">
            <v>2</v>
          </cell>
          <cell r="J96">
            <v>48.9</v>
          </cell>
        </row>
        <row r="97">
          <cell r="A97" t="str">
            <v>36-392</v>
          </cell>
          <cell r="B97" t="str">
            <v>N54</v>
          </cell>
          <cell r="C97">
            <v>10</v>
          </cell>
          <cell r="D97">
            <v>244.95</v>
          </cell>
          <cell r="E97">
            <v>10</v>
          </cell>
          <cell r="F97">
            <v>244.95</v>
          </cell>
          <cell r="G97">
            <v>10</v>
          </cell>
          <cell r="H97">
            <v>244.95</v>
          </cell>
          <cell r="I97">
            <v>10</v>
          </cell>
          <cell r="J97">
            <v>244.95</v>
          </cell>
        </row>
        <row r="98">
          <cell r="A98" t="str">
            <v>36-392</v>
          </cell>
          <cell r="B98" t="str">
            <v>N82</v>
          </cell>
          <cell r="C98">
            <v>20</v>
          </cell>
          <cell r="D98">
            <v>659.44</v>
          </cell>
          <cell r="E98">
            <v>20</v>
          </cell>
          <cell r="F98">
            <v>659.44</v>
          </cell>
          <cell r="G98">
            <v>0</v>
          </cell>
          <cell r="H98">
            <v>0</v>
          </cell>
          <cell r="I98">
            <v>0</v>
          </cell>
          <cell r="J98">
            <v>0</v>
          </cell>
        </row>
        <row r="99">
          <cell r="A99" t="str">
            <v>36-392</v>
          </cell>
          <cell r="B99" t="str">
            <v>N82</v>
          </cell>
          <cell r="C99">
            <v>0</v>
          </cell>
          <cell r="D99">
            <v>0</v>
          </cell>
          <cell r="E99">
            <v>0</v>
          </cell>
          <cell r="F99">
            <v>0</v>
          </cell>
          <cell r="G99">
            <v>20</v>
          </cell>
          <cell r="H99">
            <v>659.44</v>
          </cell>
          <cell r="I99">
            <v>20</v>
          </cell>
          <cell r="J99">
            <v>659.44</v>
          </cell>
        </row>
        <row r="100">
          <cell r="A100" t="str">
            <v>36-392</v>
          </cell>
          <cell r="B100" t="str">
            <v>N83</v>
          </cell>
          <cell r="C100">
            <v>80</v>
          </cell>
          <cell r="D100">
            <v>745.44</v>
          </cell>
          <cell r="E100">
            <v>80</v>
          </cell>
          <cell r="F100">
            <v>745.44</v>
          </cell>
          <cell r="G100">
            <v>0</v>
          </cell>
          <cell r="H100">
            <v>0</v>
          </cell>
          <cell r="I100">
            <v>0</v>
          </cell>
          <cell r="J100">
            <v>0</v>
          </cell>
        </row>
        <row r="101">
          <cell r="A101" t="str">
            <v>36-392</v>
          </cell>
          <cell r="B101" t="str">
            <v>N83</v>
          </cell>
          <cell r="C101">
            <v>0</v>
          </cell>
          <cell r="D101">
            <v>0</v>
          </cell>
          <cell r="E101">
            <v>0</v>
          </cell>
          <cell r="F101">
            <v>0</v>
          </cell>
          <cell r="G101">
            <v>80</v>
          </cell>
          <cell r="H101">
            <v>745.44</v>
          </cell>
          <cell r="I101">
            <v>80</v>
          </cell>
          <cell r="J101">
            <v>745.44</v>
          </cell>
        </row>
        <row r="102">
          <cell r="A102" t="str">
            <v>36-392</v>
          </cell>
          <cell r="B102" t="str">
            <v>N85</v>
          </cell>
          <cell r="C102">
            <v>40</v>
          </cell>
          <cell r="D102">
            <v>118.8</v>
          </cell>
          <cell r="E102">
            <v>40</v>
          </cell>
          <cell r="F102">
            <v>118.8</v>
          </cell>
          <cell r="G102">
            <v>0</v>
          </cell>
          <cell r="H102">
            <v>0</v>
          </cell>
          <cell r="I102">
            <v>0</v>
          </cell>
          <cell r="J102">
            <v>0</v>
          </cell>
        </row>
        <row r="103">
          <cell r="A103" t="str">
            <v>36-392</v>
          </cell>
          <cell r="B103" t="str">
            <v>N85</v>
          </cell>
          <cell r="C103">
            <v>0</v>
          </cell>
          <cell r="D103">
            <v>0</v>
          </cell>
          <cell r="E103">
            <v>0</v>
          </cell>
          <cell r="F103">
            <v>0</v>
          </cell>
          <cell r="G103">
            <v>40</v>
          </cell>
          <cell r="H103">
            <v>118.8</v>
          </cell>
          <cell r="I103">
            <v>40</v>
          </cell>
          <cell r="J103">
            <v>118.8</v>
          </cell>
        </row>
        <row r="104">
          <cell r="A104" t="str">
            <v>36-392</v>
          </cell>
          <cell r="B104" t="str">
            <v>N86</v>
          </cell>
          <cell r="C104">
            <v>40</v>
          </cell>
          <cell r="D104">
            <v>263.60000000000002</v>
          </cell>
          <cell r="E104">
            <v>40</v>
          </cell>
          <cell r="F104">
            <v>263.60000000000002</v>
          </cell>
          <cell r="G104">
            <v>0</v>
          </cell>
          <cell r="H104">
            <v>0</v>
          </cell>
          <cell r="I104">
            <v>0</v>
          </cell>
          <cell r="J104">
            <v>0</v>
          </cell>
        </row>
        <row r="105">
          <cell r="A105" t="str">
            <v>36-392</v>
          </cell>
          <cell r="B105" t="str">
            <v>N86</v>
          </cell>
          <cell r="C105">
            <v>0</v>
          </cell>
          <cell r="D105">
            <v>0</v>
          </cell>
          <cell r="E105">
            <v>0</v>
          </cell>
          <cell r="F105">
            <v>0</v>
          </cell>
          <cell r="G105">
            <v>40</v>
          </cell>
          <cell r="H105">
            <v>263.60000000000002</v>
          </cell>
          <cell r="I105">
            <v>40</v>
          </cell>
          <cell r="J105">
            <v>263.60000000000002</v>
          </cell>
        </row>
        <row r="106">
          <cell r="A106" t="str">
            <v>36-392</v>
          </cell>
          <cell r="B106" t="str">
            <v>N87</v>
          </cell>
          <cell r="C106">
            <v>2</v>
          </cell>
          <cell r="D106">
            <v>66.864000000000004</v>
          </cell>
          <cell r="E106">
            <v>2</v>
          </cell>
          <cell r="F106">
            <v>66.864000000000004</v>
          </cell>
          <cell r="G106">
            <v>2</v>
          </cell>
          <cell r="H106">
            <v>66.864000000000004</v>
          </cell>
          <cell r="I106">
            <v>2</v>
          </cell>
          <cell r="J106">
            <v>66.864000000000004</v>
          </cell>
        </row>
        <row r="107">
          <cell r="A107" t="str">
            <v>36-392</v>
          </cell>
          <cell r="B107" t="str">
            <v>N88</v>
          </cell>
          <cell r="C107">
            <v>2</v>
          </cell>
          <cell r="D107">
            <v>1232</v>
          </cell>
          <cell r="E107">
            <v>2</v>
          </cell>
          <cell r="F107">
            <v>1232</v>
          </cell>
          <cell r="G107">
            <v>0</v>
          </cell>
          <cell r="H107">
            <v>0</v>
          </cell>
          <cell r="I107">
            <v>0</v>
          </cell>
          <cell r="J107">
            <v>0</v>
          </cell>
        </row>
        <row r="108">
          <cell r="A108" t="str">
            <v>36-392</v>
          </cell>
          <cell r="B108" t="str">
            <v>N88</v>
          </cell>
          <cell r="C108">
            <v>2</v>
          </cell>
          <cell r="D108">
            <v>1232</v>
          </cell>
          <cell r="E108">
            <v>2</v>
          </cell>
          <cell r="F108">
            <v>1232</v>
          </cell>
          <cell r="G108">
            <v>0</v>
          </cell>
          <cell r="H108">
            <v>0</v>
          </cell>
          <cell r="I108">
            <v>0</v>
          </cell>
          <cell r="J108">
            <v>0</v>
          </cell>
        </row>
        <row r="109">
          <cell r="A109" t="str">
            <v>36-392</v>
          </cell>
          <cell r="B109" t="str">
            <v>N88</v>
          </cell>
          <cell r="C109">
            <v>0</v>
          </cell>
          <cell r="D109">
            <v>0</v>
          </cell>
          <cell r="E109">
            <v>0</v>
          </cell>
          <cell r="F109">
            <v>0</v>
          </cell>
          <cell r="G109">
            <v>4</v>
          </cell>
          <cell r="H109">
            <v>2464</v>
          </cell>
          <cell r="I109">
            <v>4</v>
          </cell>
          <cell r="J109">
            <v>2464</v>
          </cell>
        </row>
        <row r="110">
          <cell r="A110" t="str">
            <v>36-392</v>
          </cell>
          <cell r="B110" t="str">
            <v>N92</v>
          </cell>
          <cell r="C110">
            <v>1</v>
          </cell>
          <cell r="D110">
            <v>160.935</v>
          </cell>
          <cell r="E110">
            <v>1</v>
          </cell>
          <cell r="F110">
            <v>160.935</v>
          </cell>
          <cell r="G110">
            <v>0</v>
          </cell>
          <cell r="H110">
            <v>0</v>
          </cell>
          <cell r="I110">
            <v>0</v>
          </cell>
          <cell r="J110">
            <v>0</v>
          </cell>
        </row>
        <row r="111">
          <cell r="A111" t="str">
            <v>36-392</v>
          </cell>
          <cell r="B111" t="str">
            <v>N92</v>
          </cell>
          <cell r="C111">
            <v>1</v>
          </cell>
          <cell r="D111">
            <v>160.935</v>
          </cell>
          <cell r="E111">
            <v>1</v>
          </cell>
          <cell r="F111">
            <v>160.935</v>
          </cell>
          <cell r="G111">
            <v>0</v>
          </cell>
          <cell r="H111">
            <v>0</v>
          </cell>
          <cell r="I111">
            <v>0</v>
          </cell>
          <cell r="J111">
            <v>0</v>
          </cell>
        </row>
        <row r="112">
          <cell r="A112" t="str">
            <v>36-392</v>
          </cell>
          <cell r="B112" t="str">
            <v>N92</v>
          </cell>
          <cell r="C112">
            <v>0</v>
          </cell>
          <cell r="D112">
            <v>0</v>
          </cell>
          <cell r="E112">
            <v>0</v>
          </cell>
          <cell r="F112">
            <v>0</v>
          </cell>
          <cell r="G112">
            <v>2</v>
          </cell>
          <cell r="H112">
            <v>321.87</v>
          </cell>
          <cell r="I112">
            <v>2</v>
          </cell>
          <cell r="J112">
            <v>321.87</v>
          </cell>
        </row>
        <row r="113">
          <cell r="A113" t="str">
            <v>36-392</v>
          </cell>
          <cell r="B113" t="str">
            <v>N94</v>
          </cell>
          <cell r="C113">
            <v>2</v>
          </cell>
          <cell r="D113">
            <v>66.864000000000004</v>
          </cell>
          <cell r="E113">
            <v>2</v>
          </cell>
          <cell r="F113">
            <v>66.864000000000004</v>
          </cell>
          <cell r="G113">
            <v>2</v>
          </cell>
          <cell r="H113">
            <v>66.864000000000004</v>
          </cell>
          <cell r="I113">
            <v>2</v>
          </cell>
          <cell r="J113">
            <v>66.864000000000004</v>
          </cell>
        </row>
        <row r="114">
          <cell r="A114" t="str">
            <v>36-392</v>
          </cell>
          <cell r="B114" t="str">
            <v>N95</v>
          </cell>
          <cell r="C114">
            <v>2</v>
          </cell>
          <cell r="D114">
            <v>59.7</v>
          </cell>
          <cell r="E114">
            <v>2</v>
          </cell>
          <cell r="F114">
            <v>59.7</v>
          </cell>
          <cell r="G114">
            <v>2</v>
          </cell>
          <cell r="H114">
            <v>59.7</v>
          </cell>
          <cell r="I114">
            <v>2</v>
          </cell>
          <cell r="J114">
            <v>59.7</v>
          </cell>
        </row>
        <row r="115">
          <cell r="A115" t="str">
            <v>36-392</v>
          </cell>
          <cell r="B115" t="str">
            <v>N96</v>
          </cell>
          <cell r="C115">
            <v>2</v>
          </cell>
          <cell r="D115">
            <v>626.91399999999999</v>
          </cell>
          <cell r="E115">
            <v>2</v>
          </cell>
          <cell r="F115">
            <v>626.91399999999999</v>
          </cell>
          <cell r="G115">
            <v>0</v>
          </cell>
          <cell r="H115">
            <v>0</v>
          </cell>
          <cell r="I115">
            <v>0</v>
          </cell>
          <cell r="J115">
            <v>0</v>
          </cell>
        </row>
        <row r="116">
          <cell r="A116" t="str">
            <v>36-392</v>
          </cell>
          <cell r="B116" t="str">
            <v>N96</v>
          </cell>
          <cell r="C116">
            <v>0</v>
          </cell>
          <cell r="D116">
            <v>0</v>
          </cell>
          <cell r="E116">
            <v>0</v>
          </cell>
          <cell r="F116">
            <v>0</v>
          </cell>
          <cell r="G116">
            <v>2</v>
          </cell>
          <cell r="H116">
            <v>626.91399999999999</v>
          </cell>
          <cell r="I116">
            <v>2</v>
          </cell>
          <cell r="J116">
            <v>626.91399999999999</v>
          </cell>
        </row>
        <row r="117">
          <cell r="A117" t="str">
            <v>36-392</v>
          </cell>
          <cell r="B117" t="str">
            <v>N97</v>
          </cell>
          <cell r="C117">
            <v>2</v>
          </cell>
          <cell r="D117">
            <v>59.7</v>
          </cell>
          <cell r="E117">
            <v>2</v>
          </cell>
          <cell r="F117">
            <v>59.7</v>
          </cell>
          <cell r="G117">
            <v>2</v>
          </cell>
          <cell r="H117">
            <v>59.7</v>
          </cell>
          <cell r="I117">
            <v>2</v>
          </cell>
          <cell r="J117">
            <v>59.7</v>
          </cell>
        </row>
        <row r="118">
          <cell r="A118" t="str">
            <v>36-392</v>
          </cell>
          <cell r="B118" t="str">
            <v>N98</v>
          </cell>
          <cell r="C118">
            <v>2</v>
          </cell>
          <cell r="D118">
            <v>66.963999999999999</v>
          </cell>
          <cell r="E118">
            <v>2</v>
          </cell>
          <cell r="F118">
            <v>66.963999999999999</v>
          </cell>
          <cell r="G118">
            <v>2</v>
          </cell>
          <cell r="H118">
            <v>66.963999999999999</v>
          </cell>
          <cell r="I118">
            <v>2</v>
          </cell>
          <cell r="J118">
            <v>66.963999999999999</v>
          </cell>
        </row>
        <row r="119">
          <cell r="A119" t="str">
            <v>36-392</v>
          </cell>
          <cell r="B119" t="str">
            <v>N99</v>
          </cell>
          <cell r="C119">
            <v>2</v>
          </cell>
          <cell r="D119">
            <v>51.45</v>
          </cell>
          <cell r="E119">
            <v>2</v>
          </cell>
          <cell r="F119">
            <v>51.45</v>
          </cell>
          <cell r="G119">
            <v>2</v>
          </cell>
          <cell r="H119">
            <v>51.45</v>
          </cell>
          <cell r="I119">
            <v>2</v>
          </cell>
          <cell r="J119">
            <v>51.45</v>
          </cell>
        </row>
        <row r="120">
          <cell r="A120" t="str">
            <v>36-811</v>
          </cell>
          <cell r="B120" t="str">
            <v>008</v>
          </cell>
          <cell r="C120">
            <v>303</v>
          </cell>
          <cell r="D120">
            <v>1712.556</v>
          </cell>
          <cell r="E120">
            <v>303</v>
          </cell>
          <cell r="F120">
            <v>1712.556</v>
          </cell>
          <cell r="G120">
            <v>0</v>
          </cell>
          <cell r="H120">
            <v>0</v>
          </cell>
          <cell r="I120">
            <v>0</v>
          </cell>
          <cell r="J120">
            <v>0</v>
          </cell>
        </row>
        <row r="121">
          <cell r="A121" t="str">
            <v>36-811</v>
          </cell>
          <cell r="B121" t="str">
            <v>008</v>
          </cell>
          <cell r="C121">
            <v>0</v>
          </cell>
          <cell r="D121">
            <v>0</v>
          </cell>
          <cell r="E121">
            <v>0</v>
          </cell>
          <cell r="F121">
            <v>0</v>
          </cell>
          <cell r="G121">
            <v>303</v>
          </cell>
          <cell r="H121">
            <v>1712.556</v>
          </cell>
          <cell r="I121">
            <v>303</v>
          </cell>
          <cell r="J121">
            <v>1712.556</v>
          </cell>
        </row>
        <row r="122">
          <cell r="A122" t="str">
            <v>36-813</v>
          </cell>
          <cell r="B122" t="str">
            <v>006</v>
          </cell>
          <cell r="C122">
            <v>22</v>
          </cell>
          <cell r="D122">
            <v>1448.26</v>
          </cell>
          <cell r="E122">
            <v>22</v>
          </cell>
          <cell r="F122">
            <v>1448.26</v>
          </cell>
          <cell r="G122">
            <v>0</v>
          </cell>
          <cell r="H122">
            <v>0</v>
          </cell>
          <cell r="I122">
            <v>0</v>
          </cell>
          <cell r="J122">
            <v>0</v>
          </cell>
        </row>
        <row r="123">
          <cell r="A123" t="str">
            <v>36-813</v>
          </cell>
          <cell r="B123" t="str">
            <v>006</v>
          </cell>
          <cell r="C123">
            <v>0</v>
          </cell>
          <cell r="D123">
            <v>0</v>
          </cell>
          <cell r="E123">
            <v>0</v>
          </cell>
          <cell r="F123">
            <v>0</v>
          </cell>
          <cell r="G123">
            <v>22</v>
          </cell>
          <cell r="H123">
            <v>1448.26</v>
          </cell>
          <cell r="I123">
            <v>22</v>
          </cell>
          <cell r="J123">
            <v>1448.26</v>
          </cell>
        </row>
        <row r="124">
          <cell r="A124" t="str">
            <v>36-814</v>
          </cell>
          <cell r="B124" t="str">
            <v>004</v>
          </cell>
          <cell r="C124">
            <v>20</v>
          </cell>
          <cell r="D124">
            <v>1066</v>
          </cell>
          <cell r="E124">
            <v>20</v>
          </cell>
          <cell r="F124">
            <v>1066</v>
          </cell>
          <cell r="G124">
            <v>0</v>
          </cell>
          <cell r="H124">
            <v>0</v>
          </cell>
          <cell r="I124">
            <v>0</v>
          </cell>
          <cell r="J124">
            <v>0</v>
          </cell>
        </row>
        <row r="125">
          <cell r="A125" t="str">
            <v>36-814</v>
          </cell>
          <cell r="B125" t="str">
            <v>004</v>
          </cell>
          <cell r="C125">
            <v>0</v>
          </cell>
          <cell r="D125">
            <v>0</v>
          </cell>
          <cell r="E125">
            <v>0</v>
          </cell>
          <cell r="F125">
            <v>0</v>
          </cell>
          <cell r="G125">
            <v>20</v>
          </cell>
          <cell r="H125">
            <v>1066</v>
          </cell>
          <cell r="I125">
            <v>20</v>
          </cell>
          <cell r="J125">
            <v>1066</v>
          </cell>
        </row>
        <row r="126">
          <cell r="A126" t="str">
            <v>38-410</v>
          </cell>
          <cell r="B126" t="str">
            <v>173</v>
          </cell>
          <cell r="C126">
            <v>1</v>
          </cell>
          <cell r="D126">
            <v>12.323</v>
          </cell>
          <cell r="E126">
            <v>1</v>
          </cell>
          <cell r="F126">
            <v>12.323</v>
          </cell>
          <cell r="G126">
            <v>0</v>
          </cell>
          <cell r="H126">
            <v>0</v>
          </cell>
          <cell r="I126">
            <v>0</v>
          </cell>
          <cell r="J126">
            <v>0</v>
          </cell>
        </row>
        <row r="127">
          <cell r="A127" t="str">
            <v>38-410</v>
          </cell>
          <cell r="B127" t="str">
            <v>173</v>
          </cell>
          <cell r="C127">
            <v>0</v>
          </cell>
          <cell r="D127">
            <v>0</v>
          </cell>
          <cell r="E127">
            <v>0</v>
          </cell>
          <cell r="F127">
            <v>0</v>
          </cell>
          <cell r="G127">
            <v>1</v>
          </cell>
          <cell r="H127">
            <v>12.323</v>
          </cell>
          <cell r="I127">
            <v>1</v>
          </cell>
          <cell r="J127">
            <v>12.323</v>
          </cell>
        </row>
        <row r="128">
          <cell r="A128" t="str">
            <v>38-611</v>
          </cell>
          <cell r="B128" t="str">
            <v>005</v>
          </cell>
          <cell r="C128">
            <v>5</v>
          </cell>
          <cell r="D128">
            <v>95.75</v>
          </cell>
          <cell r="E128">
            <v>5</v>
          </cell>
          <cell r="F128">
            <v>95.75</v>
          </cell>
          <cell r="G128">
            <v>0</v>
          </cell>
          <cell r="H128">
            <v>0</v>
          </cell>
          <cell r="I128">
            <v>0</v>
          </cell>
          <cell r="J128">
            <v>0</v>
          </cell>
        </row>
        <row r="129">
          <cell r="A129" t="str">
            <v>38-611</v>
          </cell>
          <cell r="B129" t="str">
            <v>005</v>
          </cell>
          <cell r="C129">
            <v>0</v>
          </cell>
          <cell r="D129">
            <v>0</v>
          </cell>
          <cell r="E129">
            <v>0</v>
          </cell>
          <cell r="F129">
            <v>0</v>
          </cell>
          <cell r="G129">
            <v>5</v>
          </cell>
          <cell r="H129">
            <v>95.75</v>
          </cell>
          <cell r="I129">
            <v>5</v>
          </cell>
          <cell r="J129">
            <v>95.75</v>
          </cell>
        </row>
        <row r="130">
          <cell r="A130" t="str">
            <v>38-611</v>
          </cell>
          <cell r="B130" t="str">
            <v>006</v>
          </cell>
          <cell r="C130">
            <v>20</v>
          </cell>
          <cell r="D130">
            <v>413.6</v>
          </cell>
          <cell r="E130">
            <v>20</v>
          </cell>
          <cell r="F130">
            <v>413.6</v>
          </cell>
          <cell r="G130">
            <v>0</v>
          </cell>
          <cell r="H130">
            <v>0</v>
          </cell>
          <cell r="I130">
            <v>0</v>
          </cell>
          <cell r="J130">
            <v>0</v>
          </cell>
        </row>
        <row r="131">
          <cell r="A131" t="str">
            <v>38-611</v>
          </cell>
          <cell r="B131" t="str">
            <v>006</v>
          </cell>
          <cell r="C131">
            <v>0</v>
          </cell>
          <cell r="D131">
            <v>0</v>
          </cell>
          <cell r="E131">
            <v>0</v>
          </cell>
          <cell r="F131">
            <v>0</v>
          </cell>
          <cell r="G131">
            <v>20</v>
          </cell>
          <cell r="H131">
            <v>413.6</v>
          </cell>
          <cell r="I131">
            <v>20</v>
          </cell>
          <cell r="J131">
            <v>413.6</v>
          </cell>
        </row>
        <row r="132">
          <cell r="A132" t="str">
            <v>38-611</v>
          </cell>
          <cell r="B132" t="str">
            <v>007</v>
          </cell>
          <cell r="C132">
            <v>70</v>
          </cell>
          <cell r="D132">
            <v>1501.5</v>
          </cell>
          <cell r="E132">
            <v>70</v>
          </cell>
          <cell r="F132">
            <v>1501.5</v>
          </cell>
          <cell r="G132">
            <v>0</v>
          </cell>
          <cell r="H132">
            <v>0</v>
          </cell>
          <cell r="I132">
            <v>0</v>
          </cell>
          <cell r="J132">
            <v>0</v>
          </cell>
        </row>
        <row r="133">
          <cell r="A133" t="str">
            <v>38-611</v>
          </cell>
          <cell r="B133" t="str">
            <v>007</v>
          </cell>
          <cell r="C133">
            <v>0</v>
          </cell>
          <cell r="D133">
            <v>0</v>
          </cell>
          <cell r="E133">
            <v>0</v>
          </cell>
          <cell r="F133">
            <v>0</v>
          </cell>
          <cell r="G133">
            <v>70</v>
          </cell>
          <cell r="H133">
            <v>1501.5</v>
          </cell>
          <cell r="I133">
            <v>70</v>
          </cell>
          <cell r="J133">
            <v>1501.5</v>
          </cell>
        </row>
        <row r="134">
          <cell r="A134" t="str">
            <v>38-611</v>
          </cell>
          <cell r="B134" t="str">
            <v>011</v>
          </cell>
          <cell r="C134">
            <v>10</v>
          </cell>
          <cell r="D134">
            <v>291.10000000000002</v>
          </cell>
          <cell r="E134">
            <v>10</v>
          </cell>
          <cell r="F134">
            <v>291.10000000000002</v>
          </cell>
          <cell r="G134">
            <v>0</v>
          </cell>
          <cell r="H134">
            <v>0</v>
          </cell>
          <cell r="I134">
            <v>0</v>
          </cell>
          <cell r="J134">
            <v>0</v>
          </cell>
        </row>
        <row r="135">
          <cell r="A135" t="str">
            <v>38-611</v>
          </cell>
          <cell r="B135" t="str">
            <v>011</v>
          </cell>
          <cell r="C135">
            <v>0</v>
          </cell>
          <cell r="D135">
            <v>0</v>
          </cell>
          <cell r="E135">
            <v>0</v>
          </cell>
          <cell r="F135">
            <v>0</v>
          </cell>
          <cell r="G135">
            <v>10</v>
          </cell>
          <cell r="H135">
            <v>291.10000000000002</v>
          </cell>
          <cell r="I135">
            <v>10</v>
          </cell>
          <cell r="J135">
            <v>291.10000000000002</v>
          </cell>
        </row>
        <row r="136">
          <cell r="A136" t="str">
            <v>38-611</v>
          </cell>
          <cell r="B136" t="str">
            <v>012</v>
          </cell>
          <cell r="C136">
            <v>5</v>
          </cell>
          <cell r="D136">
            <v>149.35</v>
          </cell>
          <cell r="E136">
            <v>5</v>
          </cell>
          <cell r="F136">
            <v>149.35</v>
          </cell>
          <cell r="G136">
            <v>0</v>
          </cell>
          <cell r="H136">
            <v>0</v>
          </cell>
          <cell r="I136">
            <v>0</v>
          </cell>
          <cell r="J136">
            <v>0</v>
          </cell>
        </row>
        <row r="137">
          <cell r="A137" t="str">
            <v>38-611</v>
          </cell>
          <cell r="B137" t="str">
            <v>012</v>
          </cell>
          <cell r="C137">
            <v>0</v>
          </cell>
          <cell r="D137">
            <v>0</v>
          </cell>
          <cell r="E137">
            <v>0</v>
          </cell>
          <cell r="F137">
            <v>0</v>
          </cell>
          <cell r="G137">
            <v>5</v>
          </cell>
          <cell r="H137">
            <v>149.35</v>
          </cell>
          <cell r="I137">
            <v>5</v>
          </cell>
          <cell r="J137">
            <v>149.35</v>
          </cell>
        </row>
        <row r="138">
          <cell r="A138" t="str">
            <v>38-611</v>
          </cell>
          <cell r="B138" t="str">
            <v>013</v>
          </cell>
          <cell r="C138">
            <v>30</v>
          </cell>
          <cell r="D138">
            <v>183.9</v>
          </cell>
          <cell r="E138">
            <v>30</v>
          </cell>
          <cell r="F138">
            <v>183.9</v>
          </cell>
          <cell r="G138">
            <v>0</v>
          </cell>
          <cell r="H138">
            <v>0</v>
          </cell>
          <cell r="I138">
            <v>0</v>
          </cell>
          <cell r="J138">
            <v>0</v>
          </cell>
        </row>
        <row r="139">
          <cell r="A139" t="str">
            <v>38-611</v>
          </cell>
          <cell r="B139" t="str">
            <v>013</v>
          </cell>
          <cell r="C139">
            <v>0</v>
          </cell>
          <cell r="D139">
            <v>0</v>
          </cell>
          <cell r="E139">
            <v>0</v>
          </cell>
          <cell r="F139">
            <v>0</v>
          </cell>
          <cell r="G139">
            <v>30</v>
          </cell>
          <cell r="H139">
            <v>183.9</v>
          </cell>
          <cell r="I139">
            <v>30</v>
          </cell>
          <cell r="J139">
            <v>183.9</v>
          </cell>
        </row>
        <row r="140">
          <cell r="A140" t="str">
            <v>38-611</v>
          </cell>
          <cell r="B140" t="str">
            <v>014</v>
          </cell>
          <cell r="C140">
            <v>800</v>
          </cell>
          <cell r="D140">
            <v>192</v>
          </cell>
          <cell r="E140">
            <v>800</v>
          </cell>
          <cell r="F140">
            <v>192</v>
          </cell>
          <cell r="G140">
            <v>0</v>
          </cell>
          <cell r="H140">
            <v>0</v>
          </cell>
          <cell r="I140">
            <v>0</v>
          </cell>
          <cell r="J140">
            <v>0</v>
          </cell>
        </row>
        <row r="141">
          <cell r="A141" t="str">
            <v>38-611</v>
          </cell>
          <cell r="B141" t="str">
            <v>014</v>
          </cell>
          <cell r="C141">
            <v>0</v>
          </cell>
          <cell r="D141">
            <v>0</v>
          </cell>
          <cell r="E141">
            <v>0</v>
          </cell>
          <cell r="F141">
            <v>0</v>
          </cell>
          <cell r="G141">
            <v>800</v>
          </cell>
          <cell r="H141">
            <v>192</v>
          </cell>
          <cell r="I141">
            <v>800</v>
          </cell>
          <cell r="J141">
            <v>192</v>
          </cell>
        </row>
        <row r="142">
          <cell r="A142" t="str">
            <v>38-611</v>
          </cell>
          <cell r="B142" t="str">
            <v>015</v>
          </cell>
          <cell r="C142">
            <v>250</v>
          </cell>
          <cell r="D142">
            <v>5</v>
          </cell>
          <cell r="E142">
            <v>250</v>
          </cell>
          <cell r="F142">
            <v>5</v>
          </cell>
          <cell r="G142">
            <v>0</v>
          </cell>
          <cell r="H142">
            <v>0</v>
          </cell>
          <cell r="I142">
            <v>0</v>
          </cell>
          <cell r="J142">
            <v>0</v>
          </cell>
        </row>
        <row r="143">
          <cell r="A143" t="str">
            <v>38-611</v>
          </cell>
          <cell r="B143" t="str">
            <v>015</v>
          </cell>
          <cell r="C143">
            <v>0</v>
          </cell>
          <cell r="D143">
            <v>0</v>
          </cell>
          <cell r="E143">
            <v>0</v>
          </cell>
          <cell r="F143">
            <v>0</v>
          </cell>
          <cell r="G143">
            <v>250</v>
          </cell>
          <cell r="H143">
            <v>5</v>
          </cell>
          <cell r="I143">
            <v>250</v>
          </cell>
          <cell r="J143">
            <v>5</v>
          </cell>
        </row>
        <row r="144">
          <cell r="A144" t="str">
            <v>38-810</v>
          </cell>
          <cell r="B144" t="str">
            <v>001</v>
          </cell>
          <cell r="C144">
            <v>20</v>
          </cell>
          <cell r="D144">
            <v>443.8</v>
          </cell>
          <cell r="E144">
            <v>20</v>
          </cell>
          <cell r="F144">
            <v>443.8</v>
          </cell>
          <cell r="G144">
            <v>0</v>
          </cell>
          <cell r="H144">
            <v>0</v>
          </cell>
          <cell r="I144">
            <v>0</v>
          </cell>
          <cell r="J144">
            <v>0</v>
          </cell>
        </row>
        <row r="145">
          <cell r="A145" t="str">
            <v>38-810</v>
          </cell>
          <cell r="B145" t="str">
            <v>001</v>
          </cell>
          <cell r="C145">
            <v>5</v>
          </cell>
          <cell r="D145">
            <v>110.95</v>
          </cell>
          <cell r="E145">
            <v>5</v>
          </cell>
          <cell r="F145">
            <v>110.95</v>
          </cell>
          <cell r="G145">
            <v>0</v>
          </cell>
          <cell r="H145">
            <v>0</v>
          </cell>
          <cell r="I145">
            <v>0</v>
          </cell>
          <cell r="J145">
            <v>0</v>
          </cell>
        </row>
        <row r="146">
          <cell r="A146" t="str">
            <v>38-810</v>
          </cell>
          <cell r="B146" t="str">
            <v>001</v>
          </cell>
          <cell r="C146">
            <v>0</v>
          </cell>
          <cell r="D146">
            <v>0</v>
          </cell>
          <cell r="E146">
            <v>0</v>
          </cell>
          <cell r="F146">
            <v>0</v>
          </cell>
          <cell r="G146">
            <v>5</v>
          </cell>
          <cell r="H146">
            <v>110.95</v>
          </cell>
          <cell r="I146">
            <v>5</v>
          </cell>
          <cell r="J146">
            <v>110.95</v>
          </cell>
        </row>
        <row r="147">
          <cell r="A147" t="str">
            <v>38-810</v>
          </cell>
          <cell r="B147" t="str">
            <v>001</v>
          </cell>
          <cell r="C147">
            <v>0</v>
          </cell>
          <cell r="D147">
            <v>0</v>
          </cell>
          <cell r="E147">
            <v>0</v>
          </cell>
          <cell r="F147">
            <v>0</v>
          </cell>
          <cell r="G147">
            <v>20</v>
          </cell>
          <cell r="H147">
            <v>443.8</v>
          </cell>
          <cell r="I147">
            <v>20</v>
          </cell>
          <cell r="J147">
            <v>443.8</v>
          </cell>
        </row>
        <row r="148">
          <cell r="A148" t="str">
            <v>38-810</v>
          </cell>
          <cell r="B148" t="str">
            <v>002</v>
          </cell>
          <cell r="C148">
            <v>45</v>
          </cell>
          <cell r="D148">
            <v>1939.5</v>
          </cell>
          <cell r="E148">
            <v>45</v>
          </cell>
          <cell r="F148">
            <v>1939.5</v>
          </cell>
          <cell r="G148">
            <v>0</v>
          </cell>
          <cell r="H148">
            <v>0</v>
          </cell>
          <cell r="I148">
            <v>0</v>
          </cell>
          <cell r="J148">
            <v>0</v>
          </cell>
        </row>
        <row r="149">
          <cell r="A149" t="str">
            <v>38-810</v>
          </cell>
          <cell r="B149" t="str">
            <v>002</v>
          </cell>
          <cell r="C149">
            <v>0</v>
          </cell>
          <cell r="D149">
            <v>0</v>
          </cell>
          <cell r="E149">
            <v>0</v>
          </cell>
          <cell r="F149">
            <v>0</v>
          </cell>
          <cell r="G149">
            <v>45</v>
          </cell>
          <cell r="H149">
            <v>1939.5</v>
          </cell>
          <cell r="I149">
            <v>45</v>
          </cell>
          <cell r="J149">
            <v>1939.5</v>
          </cell>
        </row>
        <row r="150">
          <cell r="A150" t="str">
            <v>38-810</v>
          </cell>
          <cell r="B150" t="str">
            <v>003</v>
          </cell>
          <cell r="C150">
            <v>50</v>
          </cell>
          <cell r="D150">
            <v>2441.5</v>
          </cell>
          <cell r="E150">
            <v>50</v>
          </cell>
          <cell r="F150">
            <v>2441.5</v>
          </cell>
          <cell r="G150">
            <v>0</v>
          </cell>
          <cell r="H150">
            <v>0</v>
          </cell>
          <cell r="I150">
            <v>0</v>
          </cell>
          <cell r="J150">
            <v>0</v>
          </cell>
        </row>
        <row r="151">
          <cell r="A151" t="str">
            <v>38-810</v>
          </cell>
          <cell r="B151" t="str">
            <v>003</v>
          </cell>
          <cell r="C151">
            <v>0</v>
          </cell>
          <cell r="D151">
            <v>0</v>
          </cell>
          <cell r="E151">
            <v>0</v>
          </cell>
          <cell r="F151">
            <v>0</v>
          </cell>
          <cell r="G151">
            <v>50</v>
          </cell>
          <cell r="H151">
            <v>2441.5</v>
          </cell>
          <cell r="I151">
            <v>50</v>
          </cell>
          <cell r="J151">
            <v>2441.5</v>
          </cell>
        </row>
        <row r="152">
          <cell r="A152" t="str">
            <v>38-810</v>
          </cell>
          <cell r="B152" t="str">
            <v>003</v>
          </cell>
          <cell r="C152">
            <v>20</v>
          </cell>
          <cell r="D152">
            <v>976.6</v>
          </cell>
          <cell r="E152">
            <v>20</v>
          </cell>
          <cell r="F152">
            <v>976.6</v>
          </cell>
          <cell r="G152">
            <v>20</v>
          </cell>
          <cell r="H152">
            <v>976.6</v>
          </cell>
          <cell r="I152">
            <v>20</v>
          </cell>
          <cell r="J152">
            <v>976.6</v>
          </cell>
        </row>
        <row r="153">
          <cell r="A153" t="str">
            <v>38-810</v>
          </cell>
          <cell r="B153" t="str">
            <v>008</v>
          </cell>
          <cell r="C153">
            <v>500</v>
          </cell>
          <cell r="D153">
            <v>2826</v>
          </cell>
          <cell r="E153">
            <v>500</v>
          </cell>
          <cell r="F153">
            <v>2826</v>
          </cell>
          <cell r="G153">
            <v>500</v>
          </cell>
          <cell r="H153">
            <v>2826</v>
          </cell>
          <cell r="I153">
            <v>500</v>
          </cell>
          <cell r="J153">
            <v>2826</v>
          </cell>
        </row>
        <row r="154">
          <cell r="A154" t="str">
            <v>42-030</v>
          </cell>
          <cell r="B154" t="str">
            <v>N15</v>
          </cell>
          <cell r="C154">
            <v>4</v>
          </cell>
          <cell r="D154">
            <v>0.84</v>
          </cell>
          <cell r="E154">
            <v>4</v>
          </cell>
          <cell r="F154">
            <v>0.84</v>
          </cell>
          <cell r="G154">
            <v>0</v>
          </cell>
          <cell r="H154">
            <v>0</v>
          </cell>
          <cell r="I154">
            <v>0</v>
          </cell>
          <cell r="J154">
            <v>0</v>
          </cell>
        </row>
        <row r="155">
          <cell r="A155" t="str">
            <v>42-030</v>
          </cell>
          <cell r="B155" t="str">
            <v>N15</v>
          </cell>
          <cell r="C155">
            <v>0</v>
          </cell>
          <cell r="D155">
            <v>0</v>
          </cell>
          <cell r="E155">
            <v>0</v>
          </cell>
          <cell r="F155">
            <v>0</v>
          </cell>
          <cell r="G155">
            <v>4</v>
          </cell>
          <cell r="H155">
            <v>0.84</v>
          </cell>
          <cell r="I155">
            <v>4</v>
          </cell>
          <cell r="J155">
            <v>0.84</v>
          </cell>
        </row>
        <row r="156">
          <cell r="A156" t="str">
            <v>42-700</v>
          </cell>
          <cell r="B156" t="str">
            <v>007</v>
          </cell>
          <cell r="C156">
            <v>10</v>
          </cell>
          <cell r="D156">
            <v>1.86</v>
          </cell>
          <cell r="E156">
            <v>10</v>
          </cell>
          <cell r="F156">
            <v>1.86</v>
          </cell>
          <cell r="G156">
            <v>10</v>
          </cell>
          <cell r="H156">
            <v>1.86</v>
          </cell>
          <cell r="I156">
            <v>10</v>
          </cell>
          <cell r="J156">
            <v>1.86</v>
          </cell>
        </row>
        <row r="157">
          <cell r="A157" t="str">
            <v>48-200</v>
          </cell>
          <cell r="B157" t="str">
            <v>001</v>
          </cell>
          <cell r="C157">
            <v>1</v>
          </cell>
          <cell r="D157">
            <v>5</v>
          </cell>
          <cell r="E157">
            <v>1</v>
          </cell>
          <cell r="F157">
            <v>5</v>
          </cell>
          <cell r="G157">
            <v>1</v>
          </cell>
          <cell r="H157">
            <v>5</v>
          </cell>
          <cell r="I157">
            <v>1</v>
          </cell>
          <cell r="J157">
            <v>5</v>
          </cell>
        </row>
        <row r="158">
          <cell r="A158" t="str">
            <v>48-460</v>
          </cell>
          <cell r="B158" t="str">
            <v>007</v>
          </cell>
          <cell r="C158">
            <v>2</v>
          </cell>
          <cell r="D158">
            <v>300</v>
          </cell>
          <cell r="E158">
            <v>2</v>
          </cell>
          <cell r="F158">
            <v>300</v>
          </cell>
          <cell r="G158">
            <v>2</v>
          </cell>
          <cell r="H158">
            <v>300</v>
          </cell>
          <cell r="I158">
            <v>2</v>
          </cell>
          <cell r="J158">
            <v>300</v>
          </cell>
        </row>
        <row r="159">
          <cell r="A159" t="str">
            <v>48-460</v>
          </cell>
          <cell r="B159" t="str">
            <v>008</v>
          </cell>
          <cell r="C159">
            <v>8</v>
          </cell>
          <cell r="D159">
            <v>800</v>
          </cell>
          <cell r="E159">
            <v>8</v>
          </cell>
          <cell r="F159">
            <v>800</v>
          </cell>
          <cell r="G159">
            <v>8</v>
          </cell>
          <cell r="H159">
            <v>800</v>
          </cell>
          <cell r="I159">
            <v>8</v>
          </cell>
          <cell r="J159">
            <v>800</v>
          </cell>
        </row>
        <row r="160">
          <cell r="A160" t="str">
            <v>48-700</v>
          </cell>
          <cell r="B160" t="str">
            <v>001</v>
          </cell>
          <cell r="C160">
            <v>700</v>
          </cell>
          <cell r="D160">
            <v>34.299999999999997</v>
          </cell>
          <cell r="E160">
            <v>700</v>
          </cell>
          <cell r="F160">
            <v>34.299999999999997</v>
          </cell>
          <cell r="G160">
            <v>700</v>
          </cell>
          <cell r="H160">
            <v>34.299999999999997</v>
          </cell>
          <cell r="I160">
            <v>700</v>
          </cell>
          <cell r="J160">
            <v>34.299999999999997</v>
          </cell>
        </row>
        <row r="161">
          <cell r="A161" t="str">
            <v>48-700</v>
          </cell>
          <cell r="B161" t="str">
            <v>002</v>
          </cell>
          <cell r="C161">
            <v>700</v>
          </cell>
          <cell r="D161">
            <v>12.6</v>
          </cell>
          <cell r="E161">
            <v>700</v>
          </cell>
          <cell r="F161">
            <v>12.6</v>
          </cell>
          <cell r="G161">
            <v>700</v>
          </cell>
          <cell r="H161">
            <v>12.6</v>
          </cell>
          <cell r="I161">
            <v>700</v>
          </cell>
          <cell r="J161">
            <v>12.6</v>
          </cell>
        </row>
        <row r="162">
          <cell r="A162" t="str">
            <v>48-700</v>
          </cell>
          <cell r="B162" t="str">
            <v>005</v>
          </cell>
          <cell r="C162">
            <v>160</v>
          </cell>
          <cell r="D162">
            <v>18.399999999999999</v>
          </cell>
          <cell r="E162">
            <v>160</v>
          </cell>
          <cell r="F162">
            <v>18.399999999999999</v>
          </cell>
          <cell r="G162">
            <v>160</v>
          </cell>
          <cell r="H162">
            <v>18.399999999999999</v>
          </cell>
          <cell r="I162">
            <v>160</v>
          </cell>
          <cell r="J162">
            <v>18.399999999999999</v>
          </cell>
        </row>
        <row r="163">
          <cell r="A163" t="str">
            <v>48-700</v>
          </cell>
          <cell r="B163" t="str">
            <v>006</v>
          </cell>
          <cell r="C163">
            <v>160</v>
          </cell>
          <cell r="D163">
            <v>5.44</v>
          </cell>
          <cell r="E163">
            <v>160</v>
          </cell>
          <cell r="F163">
            <v>5.44</v>
          </cell>
          <cell r="G163">
            <v>160</v>
          </cell>
          <cell r="H163">
            <v>5.44</v>
          </cell>
          <cell r="I163">
            <v>160</v>
          </cell>
          <cell r="J163">
            <v>5.44</v>
          </cell>
        </row>
        <row r="164">
          <cell r="A164" t="str">
            <v>52-212</v>
          </cell>
          <cell r="B164" t="str">
            <v>008</v>
          </cell>
          <cell r="C164">
            <v>1</v>
          </cell>
          <cell r="D164">
            <v>0.25</v>
          </cell>
          <cell r="E164">
            <v>1</v>
          </cell>
          <cell r="F164">
            <v>0.25</v>
          </cell>
          <cell r="G164">
            <v>0</v>
          </cell>
          <cell r="H164">
            <v>0</v>
          </cell>
          <cell r="I164">
            <v>0</v>
          </cell>
          <cell r="J164">
            <v>0</v>
          </cell>
        </row>
        <row r="165">
          <cell r="A165" t="str">
            <v>52-212</v>
          </cell>
          <cell r="B165" t="str">
            <v>008</v>
          </cell>
          <cell r="C165">
            <v>0</v>
          </cell>
          <cell r="D165">
            <v>0</v>
          </cell>
          <cell r="E165">
            <v>0</v>
          </cell>
          <cell r="F165">
            <v>0</v>
          </cell>
          <cell r="G165">
            <v>1</v>
          </cell>
          <cell r="H165">
            <v>0.25</v>
          </cell>
          <cell r="I165">
            <v>1</v>
          </cell>
          <cell r="J165">
            <v>0.25</v>
          </cell>
        </row>
        <row r="166">
          <cell r="A166" t="str">
            <v>52-262</v>
          </cell>
          <cell r="B166" t="str">
            <v>005</v>
          </cell>
          <cell r="C166">
            <v>2</v>
          </cell>
          <cell r="D166">
            <v>1.2</v>
          </cell>
          <cell r="E166">
            <v>2</v>
          </cell>
          <cell r="F166">
            <v>1.2</v>
          </cell>
          <cell r="G166">
            <v>2</v>
          </cell>
          <cell r="H166">
            <v>1.2</v>
          </cell>
          <cell r="I166">
            <v>2</v>
          </cell>
          <cell r="J166">
            <v>1.2</v>
          </cell>
        </row>
        <row r="167">
          <cell r="A167" t="str">
            <v>52-460</v>
          </cell>
          <cell r="B167" t="str">
            <v>005</v>
          </cell>
          <cell r="C167">
            <v>4</v>
          </cell>
          <cell r="D167">
            <v>0.16</v>
          </cell>
          <cell r="E167">
            <v>4</v>
          </cell>
          <cell r="F167">
            <v>0.16</v>
          </cell>
          <cell r="G167">
            <v>4</v>
          </cell>
          <cell r="H167">
            <v>0.16</v>
          </cell>
          <cell r="I167">
            <v>4</v>
          </cell>
          <cell r="J167">
            <v>0.16</v>
          </cell>
        </row>
        <row r="168">
          <cell r="A168" t="str">
            <v>52-517</v>
          </cell>
          <cell r="B168" t="str">
            <v>001</v>
          </cell>
          <cell r="C168">
            <v>2</v>
          </cell>
          <cell r="D168">
            <v>1</v>
          </cell>
          <cell r="E168">
            <v>2</v>
          </cell>
          <cell r="F168">
            <v>1</v>
          </cell>
          <cell r="G168">
            <v>2</v>
          </cell>
          <cell r="H168">
            <v>1</v>
          </cell>
          <cell r="I168">
            <v>2</v>
          </cell>
          <cell r="J168">
            <v>1</v>
          </cell>
        </row>
        <row r="169">
          <cell r="A169" t="str">
            <v>52-517</v>
          </cell>
          <cell r="B169" t="str">
            <v>002</v>
          </cell>
          <cell r="C169">
            <v>2</v>
          </cell>
          <cell r="D169">
            <v>4.96</v>
          </cell>
          <cell r="E169">
            <v>2</v>
          </cell>
          <cell r="F169">
            <v>4.96</v>
          </cell>
          <cell r="G169">
            <v>2</v>
          </cell>
          <cell r="H169">
            <v>4.96</v>
          </cell>
          <cell r="I169">
            <v>2</v>
          </cell>
          <cell r="J169">
            <v>4.96</v>
          </cell>
        </row>
        <row r="170">
          <cell r="A170" t="str">
            <v>52-517</v>
          </cell>
          <cell r="B170" t="str">
            <v>003</v>
          </cell>
          <cell r="C170">
            <v>2</v>
          </cell>
          <cell r="D170">
            <v>1.6</v>
          </cell>
          <cell r="E170">
            <v>2</v>
          </cell>
          <cell r="F170">
            <v>1.6</v>
          </cell>
          <cell r="G170">
            <v>2</v>
          </cell>
          <cell r="H170">
            <v>1.6</v>
          </cell>
          <cell r="I170">
            <v>2</v>
          </cell>
          <cell r="J170">
            <v>1.6</v>
          </cell>
        </row>
        <row r="171">
          <cell r="A171" t="str">
            <v>52-517</v>
          </cell>
          <cell r="B171" t="str">
            <v>004</v>
          </cell>
          <cell r="C171">
            <v>2</v>
          </cell>
          <cell r="D171">
            <v>0.28000000000000003</v>
          </cell>
          <cell r="E171">
            <v>2</v>
          </cell>
          <cell r="F171">
            <v>0.28000000000000003</v>
          </cell>
          <cell r="G171">
            <v>2</v>
          </cell>
          <cell r="H171">
            <v>0.28000000000000003</v>
          </cell>
          <cell r="I171">
            <v>2</v>
          </cell>
          <cell r="J171">
            <v>0.28000000000000003</v>
          </cell>
        </row>
        <row r="172">
          <cell r="A172" t="str">
            <v>52-517</v>
          </cell>
          <cell r="B172" t="str">
            <v>007</v>
          </cell>
          <cell r="C172">
            <v>8</v>
          </cell>
          <cell r="D172">
            <v>0.08</v>
          </cell>
          <cell r="E172">
            <v>8</v>
          </cell>
          <cell r="F172">
            <v>0.08</v>
          </cell>
          <cell r="G172">
            <v>8</v>
          </cell>
          <cell r="H172">
            <v>0.08</v>
          </cell>
          <cell r="I172">
            <v>8</v>
          </cell>
          <cell r="J172">
            <v>0.08</v>
          </cell>
        </row>
        <row r="173">
          <cell r="A173" t="str">
            <v>52-517</v>
          </cell>
          <cell r="B173" t="str">
            <v>008</v>
          </cell>
          <cell r="C173">
            <v>8</v>
          </cell>
          <cell r="D173">
            <v>0.08</v>
          </cell>
          <cell r="E173">
            <v>8</v>
          </cell>
          <cell r="F173">
            <v>0.08</v>
          </cell>
          <cell r="G173">
            <v>8</v>
          </cell>
          <cell r="H173">
            <v>0.08</v>
          </cell>
          <cell r="I173">
            <v>8</v>
          </cell>
          <cell r="J173">
            <v>0.08</v>
          </cell>
        </row>
        <row r="174">
          <cell r="A174" t="str">
            <v>52-517</v>
          </cell>
          <cell r="B174" t="str">
            <v>009</v>
          </cell>
          <cell r="C174">
            <v>8</v>
          </cell>
          <cell r="D174">
            <v>0.08</v>
          </cell>
          <cell r="E174">
            <v>8</v>
          </cell>
          <cell r="F174">
            <v>0.08</v>
          </cell>
          <cell r="G174">
            <v>8</v>
          </cell>
          <cell r="H174">
            <v>0.08</v>
          </cell>
          <cell r="I174">
            <v>8</v>
          </cell>
          <cell r="J174">
            <v>0.08</v>
          </cell>
        </row>
        <row r="175">
          <cell r="A175" t="str">
            <v>52-517</v>
          </cell>
          <cell r="B175" t="str">
            <v>010</v>
          </cell>
          <cell r="C175">
            <v>4</v>
          </cell>
          <cell r="D175">
            <v>0.04</v>
          </cell>
          <cell r="E175">
            <v>4</v>
          </cell>
          <cell r="F175">
            <v>0.04</v>
          </cell>
          <cell r="G175">
            <v>4</v>
          </cell>
          <cell r="H175">
            <v>0.04</v>
          </cell>
          <cell r="I175">
            <v>4</v>
          </cell>
          <cell r="J175">
            <v>0.04</v>
          </cell>
        </row>
        <row r="176">
          <cell r="A176" t="str">
            <v>52-517</v>
          </cell>
          <cell r="B176" t="str">
            <v>011</v>
          </cell>
          <cell r="C176">
            <v>4</v>
          </cell>
          <cell r="D176">
            <v>0.04</v>
          </cell>
          <cell r="E176">
            <v>4</v>
          </cell>
          <cell r="F176">
            <v>0.04</v>
          </cell>
          <cell r="G176">
            <v>4</v>
          </cell>
          <cell r="H176">
            <v>0.04</v>
          </cell>
          <cell r="I176">
            <v>4</v>
          </cell>
          <cell r="J176">
            <v>0.04</v>
          </cell>
        </row>
        <row r="177">
          <cell r="A177" t="str">
            <v>52-517</v>
          </cell>
          <cell r="B177" t="str">
            <v>012</v>
          </cell>
          <cell r="C177">
            <v>4</v>
          </cell>
          <cell r="D177">
            <v>0.04</v>
          </cell>
          <cell r="E177">
            <v>4</v>
          </cell>
          <cell r="F177">
            <v>0.04</v>
          </cell>
          <cell r="G177">
            <v>4</v>
          </cell>
          <cell r="H177">
            <v>0.04</v>
          </cell>
          <cell r="I177">
            <v>4</v>
          </cell>
          <cell r="J177">
            <v>0.04</v>
          </cell>
        </row>
        <row r="178">
          <cell r="A178" t="str">
            <v>52-562</v>
          </cell>
          <cell r="B178" t="str">
            <v>011</v>
          </cell>
          <cell r="C178">
            <v>2</v>
          </cell>
          <cell r="D178">
            <v>1</v>
          </cell>
          <cell r="E178">
            <v>2</v>
          </cell>
          <cell r="F178">
            <v>1</v>
          </cell>
          <cell r="G178">
            <v>2</v>
          </cell>
          <cell r="H178">
            <v>1</v>
          </cell>
          <cell r="I178">
            <v>2</v>
          </cell>
          <cell r="J178">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19"/>
  <sheetViews>
    <sheetView showZeros="0" tabSelected="1" topLeftCell="B1" zoomScale="80" zoomScaleNormal="80" zoomScaleSheetLayoutView="78" workbookViewId="0">
      <pane ySplit="6" topLeftCell="A34" activePane="bottomLeft" state="frozen"/>
      <selection activeCell="H24" sqref="H24"/>
      <selection pane="bottomLeft" activeCell="H69" sqref="H69"/>
    </sheetView>
  </sheetViews>
  <sheetFormatPr defaultColWidth="8.85546875" defaultRowHeight="17.45" customHeight="1" x14ac:dyDescent="0.25"/>
  <cols>
    <col min="1" max="1" width="7.85546875" style="146" customWidth="1"/>
    <col min="2" max="2" width="48.7109375" style="147" customWidth="1"/>
    <col min="3" max="3" width="6.85546875" style="146" customWidth="1"/>
    <col min="4" max="4" width="10.85546875" style="146" customWidth="1"/>
    <col min="5" max="5" width="12.85546875" style="148" customWidth="1"/>
    <col min="6" max="6" width="12.140625" style="149" customWidth="1"/>
    <col min="7" max="7" width="13.28515625" style="139" customWidth="1"/>
    <col min="8" max="8" width="13" style="139" customWidth="1"/>
    <col min="9" max="9" width="13.140625" style="149" customWidth="1"/>
    <col min="10" max="10" width="18.5703125" style="149" customWidth="1"/>
    <col min="11" max="11" width="17.140625" style="149" customWidth="1"/>
    <col min="12" max="12" width="23.85546875" style="148" customWidth="1"/>
    <col min="13" max="14" width="12.28515625" style="148" bestFit="1" customWidth="1"/>
    <col min="15" max="15" width="11" style="148" bestFit="1" customWidth="1"/>
    <col min="16" max="16" width="10.7109375" style="148" bestFit="1" customWidth="1"/>
    <col min="17" max="17" width="11.7109375" style="148" customWidth="1"/>
    <col min="18" max="16384" width="8.85546875" style="148"/>
  </cols>
  <sheetData>
    <row r="1" spans="1:16" s="115" customFormat="1" ht="17.45" customHeight="1" x14ac:dyDescent="0.3">
      <c r="A1" s="220" t="s">
        <v>0</v>
      </c>
      <c r="B1" s="220"/>
      <c r="C1" s="220"/>
      <c r="D1" s="220"/>
      <c r="E1" s="220"/>
      <c r="F1" s="220"/>
      <c r="G1" s="220"/>
      <c r="H1" s="220"/>
      <c r="I1" s="220"/>
      <c r="J1" s="220"/>
      <c r="K1" s="220"/>
      <c r="L1" s="220"/>
    </row>
    <row r="2" spans="1:16" s="116" customFormat="1" ht="23.45" customHeight="1" x14ac:dyDescent="0.25">
      <c r="A2" s="221" t="s">
        <v>1</v>
      </c>
      <c r="B2" s="221"/>
      <c r="C2" s="221"/>
      <c r="D2" s="221"/>
      <c r="E2" s="221"/>
      <c r="F2" s="221"/>
      <c r="G2" s="221"/>
      <c r="H2" s="221"/>
      <c r="I2" s="221"/>
      <c r="J2" s="221"/>
      <c r="K2" s="1" t="s">
        <v>2</v>
      </c>
      <c r="L2" s="2">
        <v>44492</v>
      </c>
    </row>
    <row r="3" spans="1:16" s="116" customFormat="1" ht="17.45" customHeight="1" x14ac:dyDescent="0.25">
      <c r="A3" s="222" t="s">
        <v>3</v>
      </c>
      <c r="B3" s="222"/>
      <c r="C3" s="222"/>
      <c r="D3" s="222"/>
      <c r="E3" s="222"/>
      <c r="F3" s="222"/>
      <c r="G3" s="222"/>
      <c r="H3" s="222"/>
      <c r="I3" s="222"/>
      <c r="J3" s="222"/>
      <c r="K3" s="1" t="s">
        <v>4</v>
      </c>
      <c r="L3" s="2">
        <f>L2</f>
        <v>44492</v>
      </c>
    </row>
    <row r="4" spans="1:16" s="122" customFormat="1" ht="18.600000000000001" customHeight="1" x14ac:dyDescent="0.3">
      <c r="A4" s="117" t="s">
        <v>5</v>
      </c>
      <c r="B4" s="117"/>
      <c r="C4" s="117"/>
      <c r="D4" s="118"/>
      <c r="E4" s="118"/>
      <c r="F4" s="119"/>
      <c r="G4" s="120"/>
      <c r="H4" s="120"/>
      <c r="I4" s="119"/>
      <c r="J4" s="119"/>
      <c r="K4" s="121"/>
      <c r="L4" s="3"/>
      <c r="M4" s="122">
        <v>11550</v>
      </c>
    </row>
    <row r="5" spans="1:16" s="4" customFormat="1" ht="17.45" customHeight="1" x14ac:dyDescent="0.25">
      <c r="A5" s="223" t="s">
        <v>6</v>
      </c>
      <c r="B5" s="223" t="s">
        <v>7</v>
      </c>
      <c r="C5" s="223" t="s">
        <v>8</v>
      </c>
      <c r="D5" s="223" t="s">
        <v>9</v>
      </c>
      <c r="E5" s="223" t="s">
        <v>10</v>
      </c>
      <c r="F5" s="224" t="s">
        <v>11</v>
      </c>
      <c r="G5" s="225" t="s">
        <v>12</v>
      </c>
      <c r="H5" s="226"/>
      <c r="I5" s="227"/>
      <c r="J5" s="224" t="s">
        <v>13</v>
      </c>
      <c r="K5" s="224" t="s">
        <v>14</v>
      </c>
      <c r="L5" s="228" t="s">
        <v>15</v>
      </c>
    </row>
    <row r="6" spans="1:16" s="4" customFormat="1" ht="40.9" customHeight="1" x14ac:dyDescent="0.25">
      <c r="A6" s="223"/>
      <c r="B6" s="223"/>
      <c r="C6" s="223"/>
      <c r="D6" s="223"/>
      <c r="E6" s="223"/>
      <c r="F6" s="224"/>
      <c r="G6" s="76" t="s">
        <v>16</v>
      </c>
      <c r="H6" s="76" t="s">
        <v>17</v>
      </c>
      <c r="I6" s="114" t="s">
        <v>18</v>
      </c>
      <c r="J6" s="224"/>
      <c r="K6" s="224"/>
      <c r="L6" s="223"/>
      <c r="O6" s="4" t="s">
        <v>499</v>
      </c>
    </row>
    <row r="7" spans="1:16" s="4" customFormat="1" ht="10.15" customHeight="1" x14ac:dyDescent="0.25">
      <c r="A7" s="123"/>
      <c r="B7" s="123"/>
      <c r="C7" s="124"/>
      <c r="D7" s="125"/>
      <c r="E7" s="126"/>
      <c r="F7" s="127"/>
      <c r="G7" s="128"/>
      <c r="H7" s="128"/>
      <c r="I7" s="127"/>
      <c r="J7" s="127"/>
      <c r="K7" s="127"/>
      <c r="L7" s="129"/>
    </row>
    <row r="8" spans="1:16" s="130" customFormat="1" ht="17.45" customHeight="1" x14ac:dyDescent="0.25">
      <c r="A8" s="5" t="s">
        <v>19</v>
      </c>
      <c r="B8" s="6" t="s">
        <v>20</v>
      </c>
      <c r="C8" s="7"/>
      <c r="D8" s="8"/>
      <c r="E8" s="8"/>
      <c r="F8" s="8"/>
      <c r="G8" s="77"/>
      <c r="H8" s="77"/>
      <c r="I8" s="8"/>
      <c r="J8" s="8"/>
      <c r="K8" s="8"/>
      <c r="L8" s="9"/>
    </row>
    <row r="9" spans="1:16" s="4" customFormat="1" ht="24" customHeight="1" x14ac:dyDescent="0.25">
      <c r="A9" s="200">
        <v>1</v>
      </c>
      <c r="B9" s="11" t="s">
        <v>335</v>
      </c>
      <c r="C9" s="12" t="s">
        <v>21</v>
      </c>
      <c r="D9" s="12">
        <v>107231</v>
      </c>
      <c r="E9" s="13">
        <v>95680</v>
      </c>
      <c r="F9" s="78">
        <v>5000</v>
      </c>
      <c r="G9" s="13">
        <v>0</v>
      </c>
      <c r="H9" s="13"/>
      <c r="I9" s="13">
        <f>G9+H9</f>
        <v>0</v>
      </c>
      <c r="J9" s="13">
        <v>95680</v>
      </c>
      <c r="K9" s="13">
        <f>11.55*1000</f>
        <v>11550</v>
      </c>
      <c r="L9" s="229"/>
      <c r="M9" s="145"/>
      <c r="N9" s="145"/>
      <c r="O9" s="145"/>
    </row>
    <row r="10" spans="1:16" s="4" customFormat="1" ht="24" customHeight="1" x14ac:dyDescent="0.25">
      <c r="A10" s="10"/>
      <c r="B10" s="10" t="s">
        <v>22</v>
      </c>
      <c r="C10" s="12" t="s">
        <v>21</v>
      </c>
      <c r="D10" s="12">
        <v>75182</v>
      </c>
      <c r="E10" s="184">
        <v>49495</v>
      </c>
      <c r="F10" s="182">
        <v>6000</v>
      </c>
      <c r="G10" s="13">
        <v>3066.93</v>
      </c>
      <c r="H10" s="186"/>
      <c r="I10" s="13">
        <f>G10+H10</f>
        <v>3066.93</v>
      </c>
      <c r="J10" s="13">
        <f>I10+E10</f>
        <v>52561.93</v>
      </c>
      <c r="K10" s="13">
        <f t="shared" ref="K10:K17" si="0">D10-J10</f>
        <v>22620.07</v>
      </c>
      <c r="L10" s="230"/>
      <c r="M10" s="145">
        <f>47831.38-J10</f>
        <v>-4730.5500000000029</v>
      </c>
      <c r="N10" s="145">
        <f>47831.38-J10</f>
        <v>-4730.5500000000029</v>
      </c>
      <c r="O10" s="201" t="s">
        <v>495</v>
      </c>
      <c r="P10" s="145"/>
    </row>
    <row r="11" spans="1:16" s="4" customFormat="1" ht="24" customHeight="1" x14ac:dyDescent="0.25">
      <c r="A11" s="10"/>
      <c r="B11" s="10" t="s">
        <v>23</v>
      </c>
      <c r="C11" s="12" t="s">
        <v>21</v>
      </c>
      <c r="D11" s="12">
        <v>75182</v>
      </c>
      <c r="E11" s="184">
        <v>49495</v>
      </c>
      <c r="F11" s="182">
        <v>6000</v>
      </c>
      <c r="G11" s="192">
        <v>3066.93</v>
      </c>
      <c r="H11" s="192"/>
      <c r="I11" s="13">
        <f t="shared" ref="I11:I17" si="1">G11+H11</f>
        <v>3066.93</v>
      </c>
      <c r="J11" s="13">
        <f>I11+E11</f>
        <v>52561.93</v>
      </c>
      <c r="K11" s="13">
        <f t="shared" si="0"/>
        <v>22620.07</v>
      </c>
      <c r="L11" s="230"/>
      <c r="M11" s="145"/>
      <c r="N11" s="145"/>
      <c r="O11" s="201" t="s">
        <v>495</v>
      </c>
      <c r="P11" s="145"/>
    </row>
    <row r="12" spans="1:16" s="4" customFormat="1" ht="24" customHeight="1" x14ac:dyDescent="0.25">
      <c r="A12" s="10">
        <v>2</v>
      </c>
      <c r="B12" s="11" t="s">
        <v>24</v>
      </c>
      <c r="C12" s="12" t="s">
        <v>25</v>
      </c>
      <c r="D12" s="12">
        <v>5821</v>
      </c>
      <c r="E12" s="13">
        <v>21323</v>
      </c>
      <c r="F12" s="79">
        <v>300</v>
      </c>
      <c r="G12" s="13">
        <v>0</v>
      </c>
      <c r="H12" s="13"/>
      <c r="I12" s="15">
        <f>G12+H12</f>
        <v>0</v>
      </c>
      <c r="J12" s="15">
        <v>21323</v>
      </c>
      <c r="K12" s="14">
        <v>75709</v>
      </c>
      <c r="L12" s="230"/>
      <c r="M12" s="145"/>
      <c r="N12" s="145"/>
      <c r="O12" s="145"/>
      <c r="P12" s="145"/>
    </row>
    <row r="13" spans="1:16" s="4" customFormat="1" ht="24" customHeight="1" x14ac:dyDescent="0.25">
      <c r="A13" s="10">
        <v>3</v>
      </c>
      <c r="B13" s="11" t="s">
        <v>26</v>
      </c>
      <c r="C13" s="12" t="s">
        <v>25</v>
      </c>
      <c r="D13" s="12">
        <v>16737</v>
      </c>
      <c r="E13" s="14">
        <v>14433</v>
      </c>
      <c r="F13" s="79">
        <v>200</v>
      </c>
      <c r="G13" s="13">
        <v>0</v>
      </c>
      <c r="H13" s="13"/>
      <c r="I13" s="15">
        <f>G13+H13</f>
        <v>0</v>
      </c>
      <c r="J13" s="15">
        <f>E13+I13</f>
        <v>14433</v>
      </c>
      <c r="K13" s="14">
        <f t="shared" si="0"/>
        <v>2304</v>
      </c>
      <c r="L13" s="230"/>
      <c r="M13" s="145"/>
      <c r="N13" s="145"/>
      <c r="O13" s="145"/>
    </row>
    <row r="14" spans="1:16" s="4" customFormat="1" ht="24" customHeight="1" x14ac:dyDescent="0.25">
      <c r="A14" s="10">
        <v>4</v>
      </c>
      <c r="B14" s="11" t="s">
        <v>27</v>
      </c>
      <c r="C14" s="12" t="s">
        <v>25</v>
      </c>
      <c r="D14" s="12">
        <v>30</v>
      </c>
      <c r="E14" s="14">
        <v>0</v>
      </c>
      <c r="F14" s="79"/>
      <c r="G14" s="13">
        <v>0</v>
      </c>
      <c r="H14" s="13"/>
      <c r="I14" s="15">
        <f t="shared" si="1"/>
        <v>0</v>
      </c>
      <c r="J14" s="15">
        <f t="shared" ref="J14:J17" si="2">E14+I14</f>
        <v>0</v>
      </c>
      <c r="K14" s="14">
        <f t="shared" si="0"/>
        <v>30</v>
      </c>
      <c r="L14" s="230"/>
      <c r="M14" s="145"/>
      <c r="N14" s="145"/>
      <c r="O14" s="145"/>
    </row>
    <row r="15" spans="1:16" s="4" customFormat="1" ht="24" customHeight="1" x14ac:dyDescent="0.25">
      <c r="A15" s="10">
        <v>5</v>
      </c>
      <c r="B15" s="11" t="s">
        <v>28</v>
      </c>
      <c r="C15" s="12" t="s">
        <v>25</v>
      </c>
      <c r="D15" s="12">
        <v>3993</v>
      </c>
      <c r="E15" s="14">
        <v>0</v>
      </c>
      <c r="F15" s="79"/>
      <c r="G15" s="13">
        <v>0</v>
      </c>
      <c r="H15" s="13"/>
      <c r="I15" s="15">
        <f t="shared" si="1"/>
        <v>0</v>
      </c>
      <c r="J15" s="15">
        <f t="shared" si="2"/>
        <v>0</v>
      </c>
      <c r="K15" s="14">
        <f t="shared" si="0"/>
        <v>3993</v>
      </c>
      <c r="L15" s="230"/>
      <c r="M15" s="145"/>
      <c r="N15" s="145"/>
      <c r="O15" s="145"/>
    </row>
    <row r="16" spans="1:16" s="4" customFormat="1" ht="24" customHeight="1" x14ac:dyDescent="0.25">
      <c r="A16" s="10">
        <v>6</v>
      </c>
      <c r="B16" s="11" t="s">
        <v>29</v>
      </c>
      <c r="C16" s="12" t="s">
        <v>25</v>
      </c>
      <c r="D16" s="12">
        <v>22544</v>
      </c>
      <c r="E16" s="14">
        <v>0</v>
      </c>
      <c r="F16" s="79"/>
      <c r="G16" s="13">
        <v>0</v>
      </c>
      <c r="H16" s="13"/>
      <c r="I16" s="15">
        <f t="shared" si="1"/>
        <v>0</v>
      </c>
      <c r="J16" s="15">
        <f t="shared" si="2"/>
        <v>0</v>
      </c>
      <c r="K16" s="14">
        <f t="shared" si="0"/>
        <v>22544</v>
      </c>
      <c r="L16" s="230"/>
      <c r="M16" s="145"/>
      <c r="N16" s="145"/>
      <c r="O16" s="145"/>
    </row>
    <row r="17" spans="1:17" s="4" customFormat="1" ht="24" customHeight="1" x14ac:dyDescent="0.25">
      <c r="A17" s="10">
        <v>7</v>
      </c>
      <c r="B17" s="11" t="s">
        <v>30</v>
      </c>
      <c r="C17" s="12" t="s">
        <v>25</v>
      </c>
      <c r="D17" s="12">
        <v>2611</v>
      </c>
      <c r="E17" s="14">
        <v>0</v>
      </c>
      <c r="F17" s="79">
        <v>350</v>
      </c>
      <c r="G17" s="13">
        <v>0</v>
      </c>
      <c r="H17" s="13"/>
      <c r="I17" s="15">
        <f t="shared" si="1"/>
        <v>0</v>
      </c>
      <c r="J17" s="15">
        <f t="shared" si="2"/>
        <v>0</v>
      </c>
      <c r="K17" s="14">
        <f t="shared" si="0"/>
        <v>2611</v>
      </c>
      <c r="L17" s="231"/>
      <c r="M17" s="145"/>
      <c r="N17" s="145"/>
      <c r="O17" s="145"/>
    </row>
    <row r="18" spans="1:17" s="152" customFormat="1" ht="24" customHeight="1" x14ac:dyDescent="0.25">
      <c r="A18" s="12"/>
      <c r="B18" s="11"/>
      <c r="C18" s="12"/>
      <c r="D18" s="12"/>
      <c r="E18" s="14"/>
      <c r="F18" s="79"/>
      <c r="G18" s="13"/>
      <c r="H18" s="13"/>
      <c r="I18" s="14"/>
      <c r="J18" s="14"/>
      <c r="K18" s="14"/>
      <c r="L18" s="151"/>
      <c r="M18" s="145"/>
      <c r="N18" s="145"/>
      <c r="O18" s="145"/>
    </row>
    <row r="19" spans="1:17" s="130" customFormat="1" ht="15.75" x14ac:dyDescent="0.25">
      <c r="A19" s="5" t="s">
        <v>31</v>
      </c>
      <c r="B19" s="6" t="s">
        <v>32</v>
      </c>
      <c r="C19" s="7"/>
      <c r="D19" s="8"/>
      <c r="E19" s="8"/>
      <c r="F19" s="8"/>
      <c r="G19" s="131"/>
      <c r="H19" s="132"/>
      <c r="I19" s="8"/>
      <c r="J19" s="8"/>
      <c r="K19" s="8"/>
      <c r="L19" s="9"/>
      <c r="M19" s="145"/>
      <c r="N19" s="145"/>
      <c r="O19" s="145"/>
    </row>
    <row r="20" spans="1:17" s="152" customFormat="1" ht="33.6" customHeight="1" x14ac:dyDescent="0.25">
      <c r="A20" s="10">
        <v>1</v>
      </c>
      <c r="B20" s="11" t="s">
        <v>33</v>
      </c>
      <c r="C20" s="12" t="s">
        <v>25</v>
      </c>
      <c r="D20" s="12">
        <v>1</v>
      </c>
      <c r="E20" s="12">
        <v>0</v>
      </c>
      <c r="F20" s="79"/>
      <c r="G20" s="13">
        <v>0</v>
      </c>
      <c r="H20" s="13"/>
      <c r="I20" s="15">
        <f t="shared" ref="I20:I26" si="3">G20+H20</f>
        <v>0</v>
      </c>
      <c r="J20" s="15">
        <f t="shared" ref="J20:J60" si="4">E20+I20</f>
        <v>0</v>
      </c>
      <c r="K20" s="14">
        <f t="shared" ref="K20:K60" si="5">D20-J20</f>
        <v>1</v>
      </c>
      <c r="L20" s="232" t="s">
        <v>363</v>
      </c>
      <c r="M20" s="145"/>
      <c r="N20" s="145"/>
      <c r="O20" s="145"/>
    </row>
    <row r="21" spans="1:17" s="152" customFormat="1" ht="33.6" customHeight="1" x14ac:dyDescent="0.25">
      <c r="A21" s="10">
        <v>2</v>
      </c>
      <c r="B21" s="153" t="s">
        <v>34</v>
      </c>
      <c r="C21" s="12" t="s">
        <v>35</v>
      </c>
      <c r="D21" s="12">
        <v>123470</v>
      </c>
      <c r="E21" s="12">
        <v>0</v>
      </c>
      <c r="F21" s="154"/>
      <c r="G21" s="15">
        <v>0</v>
      </c>
      <c r="H21" s="13"/>
      <c r="I21" s="15">
        <f>G21+H21</f>
        <v>0</v>
      </c>
      <c r="J21" s="15">
        <f t="shared" si="4"/>
        <v>0</v>
      </c>
      <c r="K21" s="14">
        <f t="shared" si="5"/>
        <v>123470</v>
      </c>
      <c r="L21" s="233"/>
      <c r="M21" s="145">
        <f>18608-J22</f>
        <v>-11066</v>
      </c>
      <c r="N21" s="145"/>
      <c r="O21" s="145"/>
    </row>
    <row r="22" spans="1:17" s="152" customFormat="1" ht="33.6" customHeight="1" x14ac:dyDescent="0.25">
      <c r="A22" s="10"/>
      <c r="B22" s="155" t="s">
        <v>36</v>
      </c>
      <c r="C22" s="12" t="s">
        <v>35</v>
      </c>
      <c r="D22" s="12">
        <v>123470</v>
      </c>
      <c r="E22" s="185">
        <v>22022</v>
      </c>
      <c r="F22" s="154">
        <v>10000</v>
      </c>
      <c r="G22" s="14">
        <v>7574</v>
      </c>
      <c r="H22" s="180">
        <v>78</v>
      </c>
      <c r="I22" s="14">
        <f>G22+H22</f>
        <v>7652</v>
      </c>
      <c r="J22" s="14">
        <f>I22+E22</f>
        <v>29674</v>
      </c>
      <c r="K22" s="14">
        <f t="shared" si="5"/>
        <v>93796</v>
      </c>
      <c r="L22" s="233"/>
      <c r="M22" s="145"/>
      <c r="N22" s="145"/>
      <c r="O22" s="201" t="s">
        <v>496</v>
      </c>
      <c r="Q22" s="194"/>
    </row>
    <row r="23" spans="1:17" s="152" customFormat="1" ht="33.6" customHeight="1" x14ac:dyDescent="0.25">
      <c r="A23" s="10"/>
      <c r="B23" s="155" t="s">
        <v>37</v>
      </c>
      <c r="C23" s="12" t="s">
        <v>35</v>
      </c>
      <c r="D23" s="12">
        <v>123470</v>
      </c>
      <c r="E23" s="185">
        <v>22022</v>
      </c>
      <c r="F23" s="154">
        <v>10000</v>
      </c>
      <c r="G23" s="14">
        <v>7422.5</v>
      </c>
      <c r="H23" s="196">
        <v>274</v>
      </c>
      <c r="I23" s="14">
        <f>G23+H23</f>
        <v>7696.5</v>
      </c>
      <c r="J23" s="14">
        <f>I23+E23</f>
        <v>29718.5</v>
      </c>
      <c r="K23" s="14">
        <f t="shared" si="5"/>
        <v>93751.5</v>
      </c>
      <c r="L23" s="233"/>
      <c r="M23" s="145"/>
      <c r="N23" s="145"/>
      <c r="O23" s="201" t="s">
        <v>496</v>
      </c>
    </row>
    <row r="24" spans="1:17" s="152" customFormat="1" ht="33.6" customHeight="1" x14ac:dyDescent="0.25">
      <c r="A24" s="10">
        <v>3</v>
      </c>
      <c r="B24" s="153" t="s">
        <v>38</v>
      </c>
      <c r="C24" s="12" t="s">
        <v>35</v>
      </c>
      <c r="D24" s="12">
        <v>28140</v>
      </c>
      <c r="E24" s="12">
        <v>57</v>
      </c>
      <c r="F24" s="79"/>
      <c r="G24" s="15">
        <v>0</v>
      </c>
      <c r="H24" s="13"/>
      <c r="I24" s="15">
        <f t="shared" si="3"/>
        <v>0</v>
      </c>
      <c r="J24" s="15">
        <v>57</v>
      </c>
      <c r="K24" s="14">
        <f t="shared" si="5"/>
        <v>28083</v>
      </c>
      <c r="L24" s="233"/>
      <c r="M24" s="145"/>
      <c r="N24" s="145"/>
      <c r="O24" s="145"/>
    </row>
    <row r="25" spans="1:17" s="152" customFormat="1" ht="33.6" customHeight="1" x14ac:dyDescent="0.25">
      <c r="A25" s="10">
        <v>4</v>
      </c>
      <c r="B25" s="11" t="s">
        <v>507</v>
      </c>
      <c r="C25" s="12" t="s">
        <v>39</v>
      </c>
      <c r="D25" s="12">
        <v>604060</v>
      </c>
      <c r="E25" s="12">
        <v>0</v>
      </c>
      <c r="F25" s="79"/>
      <c r="G25" s="13">
        <v>0</v>
      </c>
      <c r="H25" s="13"/>
      <c r="I25" s="15">
        <f t="shared" si="3"/>
        <v>0</v>
      </c>
      <c r="J25" s="15">
        <f t="shared" si="4"/>
        <v>0</v>
      </c>
      <c r="K25" s="14">
        <f t="shared" si="5"/>
        <v>604060</v>
      </c>
      <c r="L25" s="233"/>
      <c r="M25" s="145"/>
      <c r="N25" s="145"/>
      <c r="O25" s="145"/>
    </row>
    <row r="26" spans="1:17" s="152" customFormat="1" ht="33.6" customHeight="1" x14ac:dyDescent="0.25">
      <c r="A26" s="200"/>
      <c r="B26" s="10" t="s">
        <v>271</v>
      </c>
      <c r="C26" s="12" t="s">
        <v>39</v>
      </c>
      <c r="D26" s="12">
        <v>489572</v>
      </c>
      <c r="E26" s="185">
        <v>146598</v>
      </c>
      <c r="F26" s="79">
        <v>40000</v>
      </c>
      <c r="G26" s="13">
        <v>35441.880000000005</v>
      </c>
      <c r="H26" s="13">
        <v>1728</v>
      </c>
      <c r="I26" s="15">
        <f t="shared" si="3"/>
        <v>37169.880000000005</v>
      </c>
      <c r="J26" s="15">
        <f>I26+E26</f>
        <v>183767.88</v>
      </c>
      <c r="K26" s="14">
        <f t="shared" si="5"/>
        <v>305804.12</v>
      </c>
      <c r="L26" s="233"/>
      <c r="M26" s="195"/>
      <c r="N26" s="145"/>
      <c r="O26" s="201" t="s">
        <v>497</v>
      </c>
      <c r="P26" s="194"/>
      <c r="Q26" s="194"/>
    </row>
    <row r="27" spans="1:17" s="152" customFormat="1" ht="33.6" customHeight="1" x14ac:dyDescent="0.25">
      <c r="A27" s="10"/>
      <c r="B27" s="10" t="s">
        <v>494</v>
      </c>
      <c r="C27" s="12" t="s">
        <v>39</v>
      </c>
      <c r="D27" s="12">
        <v>604060</v>
      </c>
      <c r="E27" s="12">
        <v>6000</v>
      </c>
      <c r="F27" s="79"/>
      <c r="G27" s="13"/>
      <c r="H27" s="13"/>
      <c r="I27" s="15"/>
      <c r="J27" s="15">
        <v>6000</v>
      </c>
      <c r="K27" s="14">
        <f t="shared" si="5"/>
        <v>598060</v>
      </c>
      <c r="L27" s="233"/>
      <c r="M27" s="145"/>
      <c r="N27" s="145"/>
      <c r="O27" s="145"/>
    </row>
    <row r="28" spans="1:17" s="152" customFormat="1" ht="33.6" customHeight="1" x14ac:dyDescent="0.25">
      <c r="A28" s="10">
        <v>5</v>
      </c>
      <c r="B28" s="153" t="s">
        <v>40</v>
      </c>
      <c r="C28" s="12" t="s">
        <v>35</v>
      </c>
      <c r="D28" s="12">
        <v>5100</v>
      </c>
      <c r="E28" s="12">
        <v>0</v>
      </c>
      <c r="F28" s="79"/>
      <c r="G28" s="13">
        <v>0</v>
      </c>
      <c r="H28" s="13"/>
      <c r="I28" s="15">
        <f t="shared" ref="I28:I38" si="6">G28+H28</f>
        <v>0</v>
      </c>
      <c r="J28" s="15">
        <f t="shared" si="4"/>
        <v>0</v>
      </c>
      <c r="K28" s="14">
        <f t="shared" si="5"/>
        <v>5100</v>
      </c>
      <c r="L28" s="233"/>
      <c r="M28" s="145"/>
      <c r="N28" s="145"/>
      <c r="O28" s="145"/>
    </row>
    <row r="29" spans="1:17" s="152" customFormat="1" ht="33.6" customHeight="1" x14ac:dyDescent="0.25">
      <c r="A29" s="10">
        <v>6</v>
      </c>
      <c r="B29" s="153" t="s">
        <v>41</v>
      </c>
      <c r="C29" s="12" t="s">
        <v>35</v>
      </c>
      <c r="D29" s="12">
        <v>5430</v>
      </c>
      <c r="E29" s="12">
        <v>0</v>
      </c>
      <c r="F29" s="79"/>
      <c r="G29" s="13">
        <v>0</v>
      </c>
      <c r="H29" s="13"/>
      <c r="I29" s="15">
        <f t="shared" si="6"/>
        <v>0</v>
      </c>
      <c r="J29" s="15">
        <f t="shared" si="4"/>
        <v>0</v>
      </c>
      <c r="K29" s="14">
        <f t="shared" si="5"/>
        <v>5430</v>
      </c>
      <c r="L29" s="233"/>
      <c r="M29" s="145"/>
      <c r="N29" s="145"/>
      <c r="O29" s="145"/>
    </row>
    <row r="30" spans="1:17" s="152" customFormat="1" ht="33.6" customHeight="1" x14ac:dyDescent="0.25">
      <c r="A30" s="10">
        <v>7</v>
      </c>
      <c r="B30" s="11" t="s">
        <v>508</v>
      </c>
      <c r="C30" s="12" t="s">
        <v>39</v>
      </c>
      <c r="D30" s="12">
        <v>22865</v>
      </c>
      <c r="E30" s="12">
        <v>0</v>
      </c>
      <c r="F30" s="79"/>
      <c r="G30" s="13">
        <v>0</v>
      </c>
      <c r="H30" s="13"/>
      <c r="I30" s="15">
        <f t="shared" si="6"/>
        <v>0</v>
      </c>
      <c r="J30" s="15">
        <f t="shared" si="4"/>
        <v>0</v>
      </c>
      <c r="K30" s="15">
        <f t="shared" si="5"/>
        <v>22865</v>
      </c>
      <c r="L30" s="233"/>
      <c r="M30" s="145"/>
      <c r="N30" s="145"/>
      <c r="O30" s="145"/>
    </row>
    <row r="31" spans="1:17" s="152" customFormat="1" ht="33.6" customHeight="1" x14ac:dyDescent="0.25">
      <c r="A31" s="10">
        <v>8</v>
      </c>
      <c r="B31" s="11" t="s">
        <v>42</v>
      </c>
      <c r="C31" s="12" t="s">
        <v>21</v>
      </c>
      <c r="D31" s="12">
        <v>35010</v>
      </c>
      <c r="E31" s="12">
        <v>486</v>
      </c>
      <c r="F31" s="79"/>
      <c r="G31" s="13">
        <v>0</v>
      </c>
      <c r="H31" s="13"/>
      <c r="I31" s="15">
        <f t="shared" si="6"/>
        <v>0</v>
      </c>
      <c r="J31" s="15">
        <v>486</v>
      </c>
      <c r="K31" s="15">
        <f t="shared" si="5"/>
        <v>34524</v>
      </c>
      <c r="L31" s="233"/>
      <c r="M31" s="145"/>
      <c r="N31" s="145"/>
      <c r="O31" s="145"/>
    </row>
    <row r="32" spans="1:17" s="152" customFormat="1" ht="33.6" customHeight="1" x14ac:dyDescent="0.25">
      <c r="A32" s="10">
        <v>9</v>
      </c>
      <c r="B32" s="11" t="s">
        <v>43</v>
      </c>
      <c r="C32" s="12" t="s">
        <v>21</v>
      </c>
      <c r="D32" s="12">
        <v>2000</v>
      </c>
      <c r="E32" s="12">
        <v>0</v>
      </c>
      <c r="F32" s="79"/>
      <c r="G32" s="13">
        <v>0</v>
      </c>
      <c r="H32" s="13"/>
      <c r="I32" s="15">
        <f t="shared" si="6"/>
        <v>0</v>
      </c>
      <c r="J32" s="15">
        <f t="shared" si="4"/>
        <v>0</v>
      </c>
      <c r="K32" s="15">
        <f t="shared" si="5"/>
        <v>2000</v>
      </c>
      <c r="L32" s="233"/>
      <c r="M32" s="145"/>
      <c r="N32" s="145"/>
      <c r="O32" s="145"/>
    </row>
    <row r="33" spans="1:15" s="152" customFormat="1" ht="33.6" customHeight="1" x14ac:dyDescent="0.25">
      <c r="A33" s="10">
        <v>10</v>
      </c>
      <c r="B33" s="153" t="s">
        <v>44</v>
      </c>
      <c r="C33" s="12" t="s">
        <v>25</v>
      </c>
      <c r="D33" s="12">
        <v>1167</v>
      </c>
      <c r="E33" s="12">
        <v>0</v>
      </c>
      <c r="F33" s="79"/>
      <c r="G33" s="13">
        <v>0</v>
      </c>
      <c r="H33" s="13"/>
      <c r="I33" s="15">
        <f t="shared" si="6"/>
        <v>0</v>
      </c>
      <c r="J33" s="15">
        <f t="shared" si="4"/>
        <v>0</v>
      </c>
      <c r="K33" s="15">
        <f t="shared" si="5"/>
        <v>1167</v>
      </c>
      <c r="L33" s="233"/>
      <c r="M33" s="145"/>
      <c r="N33" s="145"/>
      <c r="O33" s="145"/>
    </row>
    <row r="34" spans="1:15" s="152" customFormat="1" ht="33.6" customHeight="1" x14ac:dyDescent="0.25">
      <c r="A34" s="10">
        <v>11</v>
      </c>
      <c r="B34" s="11" t="s">
        <v>45</v>
      </c>
      <c r="C34" s="12" t="s">
        <v>25</v>
      </c>
      <c r="D34" s="12">
        <v>98</v>
      </c>
      <c r="E34" s="12">
        <v>0</v>
      </c>
      <c r="F34" s="79"/>
      <c r="G34" s="13">
        <v>0</v>
      </c>
      <c r="H34" s="13"/>
      <c r="I34" s="15">
        <f t="shared" si="6"/>
        <v>0</v>
      </c>
      <c r="J34" s="15">
        <f t="shared" si="4"/>
        <v>0</v>
      </c>
      <c r="K34" s="15">
        <f t="shared" si="5"/>
        <v>98</v>
      </c>
      <c r="L34" s="233"/>
      <c r="M34" s="145"/>
      <c r="N34" s="145"/>
      <c r="O34" s="145"/>
    </row>
    <row r="35" spans="1:15" s="152" customFormat="1" ht="33.6" customHeight="1" x14ac:dyDescent="0.25">
      <c r="A35" s="10">
        <v>12</v>
      </c>
      <c r="B35" s="11" t="s">
        <v>46</v>
      </c>
      <c r="C35" s="12" t="s">
        <v>25</v>
      </c>
      <c r="D35" s="12">
        <v>39</v>
      </c>
      <c r="E35" s="12">
        <v>0</v>
      </c>
      <c r="F35" s="79"/>
      <c r="G35" s="13">
        <v>0</v>
      </c>
      <c r="H35" s="13"/>
      <c r="I35" s="15">
        <f t="shared" si="6"/>
        <v>0</v>
      </c>
      <c r="J35" s="15">
        <f t="shared" si="4"/>
        <v>0</v>
      </c>
      <c r="K35" s="15">
        <f t="shared" si="5"/>
        <v>39</v>
      </c>
      <c r="L35" s="233"/>
      <c r="M35" s="145"/>
      <c r="N35" s="145"/>
      <c r="O35" s="145"/>
    </row>
    <row r="36" spans="1:15" s="152" customFormat="1" ht="33.6" customHeight="1" x14ac:dyDescent="0.25">
      <c r="A36" s="10">
        <v>13</v>
      </c>
      <c r="B36" s="11" t="s">
        <v>47</v>
      </c>
      <c r="C36" s="12" t="s">
        <v>25</v>
      </c>
      <c r="D36" s="12">
        <v>79</v>
      </c>
      <c r="E36" s="12">
        <v>0</v>
      </c>
      <c r="F36" s="79"/>
      <c r="G36" s="13">
        <v>0</v>
      </c>
      <c r="H36" s="13"/>
      <c r="I36" s="15">
        <f t="shared" si="6"/>
        <v>0</v>
      </c>
      <c r="J36" s="15">
        <f t="shared" si="4"/>
        <v>0</v>
      </c>
      <c r="K36" s="15">
        <f t="shared" si="5"/>
        <v>79</v>
      </c>
      <c r="L36" s="233"/>
      <c r="M36" s="145"/>
      <c r="N36" s="145"/>
      <c r="O36" s="145"/>
    </row>
    <row r="37" spans="1:15" s="152" customFormat="1" ht="33.6" customHeight="1" x14ac:dyDescent="0.25">
      <c r="A37" s="10">
        <v>14</v>
      </c>
      <c r="B37" s="11" t="s">
        <v>48</v>
      </c>
      <c r="C37" s="12" t="s">
        <v>25</v>
      </c>
      <c r="D37" s="12">
        <v>6</v>
      </c>
      <c r="E37" s="12">
        <v>0</v>
      </c>
      <c r="F37" s="79"/>
      <c r="G37" s="13">
        <v>0</v>
      </c>
      <c r="H37" s="13"/>
      <c r="I37" s="15">
        <f t="shared" si="6"/>
        <v>0</v>
      </c>
      <c r="J37" s="15">
        <f t="shared" si="4"/>
        <v>0</v>
      </c>
      <c r="K37" s="15">
        <f t="shared" si="5"/>
        <v>6</v>
      </c>
      <c r="L37" s="233"/>
      <c r="M37" s="145"/>
      <c r="N37" s="145"/>
      <c r="O37" s="145"/>
    </row>
    <row r="38" spans="1:15" s="152" customFormat="1" ht="33.6" customHeight="1" x14ac:dyDescent="0.25">
      <c r="A38" s="10">
        <v>15</v>
      </c>
      <c r="B38" s="11" t="s">
        <v>49</v>
      </c>
      <c r="C38" s="12" t="s">
        <v>25</v>
      </c>
      <c r="D38" s="12">
        <v>29</v>
      </c>
      <c r="E38" s="12">
        <v>0</v>
      </c>
      <c r="F38" s="79"/>
      <c r="G38" s="13">
        <v>0</v>
      </c>
      <c r="H38" s="13"/>
      <c r="I38" s="15">
        <f t="shared" si="6"/>
        <v>0</v>
      </c>
      <c r="J38" s="15">
        <f t="shared" si="4"/>
        <v>0</v>
      </c>
      <c r="K38" s="15">
        <f t="shared" si="5"/>
        <v>29</v>
      </c>
      <c r="L38" s="233"/>
      <c r="M38" s="145"/>
      <c r="N38" s="145"/>
      <c r="O38" s="145"/>
    </row>
    <row r="39" spans="1:15" s="152" customFormat="1" ht="33.6" customHeight="1" x14ac:dyDescent="0.25">
      <c r="A39" s="10">
        <v>16</v>
      </c>
      <c r="B39" s="153" t="s">
        <v>50</v>
      </c>
      <c r="C39" s="12" t="s">
        <v>25</v>
      </c>
      <c r="D39" s="12">
        <v>1400</v>
      </c>
      <c r="E39" s="14">
        <v>78</v>
      </c>
      <c r="F39" s="79"/>
      <c r="G39" s="13"/>
      <c r="H39" s="13"/>
      <c r="I39" s="14"/>
      <c r="J39" s="14">
        <v>78</v>
      </c>
      <c r="K39" s="14">
        <f t="shared" si="5"/>
        <v>1322</v>
      </c>
      <c r="L39" s="233"/>
      <c r="M39" s="145"/>
      <c r="N39" s="145"/>
      <c r="O39" s="201" t="s">
        <v>498</v>
      </c>
    </row>
    <row r="40" spans="1:15" s="152" customFormat="1" ht="33.6" customHeight="1" x14ac:dyDescent="0.25">
      <c r="A40" s="10">
        <v>17</v>
      </c>
      <c r="B40" s="153" t="s">
        <v>51</v>
      </c>
      <c r="C40" s="12" t="s">
        <v>25</v>
      </c>
      <c r="D40" s="12">
        <v>262</v>
      </c>
      <c r="E40" s="12">
        <v>0</v>
      </c>
      <c r="F40" s="79"/>
      <c r="G40" s="13">
        <v>0</v>
      </c>
      <c r="H40" s="13"/>
      <c r="I40" s="15">
        <f t="shared" ref="I40:I60" si="7">G40+H40</f>
        <v>0</v>
      </c>
      <c r="J40" s="15">
        <f t="shared" si="4"/>
        <v>0</v>
      </c>
      <c r="K40" s="15">
        <f t="shared" si="5"/>
        <v>262</v>
      </c>
      <c r="L40" s="233"/>
      <c r="M40" s="145"/>
      <c r="N40" s="145"/>
      <c r="O40" s="201" t="s">
        <v>498</v>
      </c>
    </row>
    <row r="41" spans="1:15" s="152" customFormat="1" ht="33.6" customHeight="1" x14ac:dyDescent="0.25">
      <c r="A41" s="10">
        <v>18</v>
      </c>
      <c r="B41" s="153" t="s">
        <v>52</v>
      </c>
      <c r="C41" s="12" t="s">
        <v>25</v>
      </c>
      <c r="D41" s="12">
        <v>1725</v>
      </c>
      <c r="E41" s="12">
        <v>26</v>
      </c>
      <c r="F41" s="79">
        <v>20</v>
      </c>
      <c r="G41" s="13">
        <v>0</v>
      </c>
      <c r="H41" s="13"/>
      <c r="I41" s="14">
        <f t="shared" si="7"/>
        <v>0</v>
      </c>
      <c r="J41" s="14">
        <v>26</v>
      </c>
      <c r="K41" s="15">
        <f t="shared" si="5"/>
        <v>1699</v>
      </c>
      <c r="L41" s="233"/>
      <c r="M41" s="145"/>
      <c r="N41" s="145"/>
      <c r="O41" s="201" t="s">
        <v>498</v>
      </c>
    </row>
    <row r="42" spans="1:15" s="152" customFormat="1" ht="33.6" customHeight="1" x14ac:dyDescent="0.25">
      <c r="A42" s="10">
        <v>19</v>
      </c>
      <c r="B42" s="153" t="s">
        <v>53</v>
      </c>
      <c r="C42" s="12" t="s">
        <v>54</v>
      </c>
      <c r="D42" s="12">
        <v>3686</v>
      </c>
      <c r="E42" s="12">
        <v>188.39999999999998</v>
      </c>
      <c r="F42" s="79">
        <v>200</v>
      </c>
      <c r="G42" s="13">
        <v>0</v>
      </c>
      <c r="H42" s="13"/>
      <c r="I42" s="15">
        <f t="shared" si="7"/>
        <v>0</v>
      </c>
      <c r="J42" s="15">
        <f t="shared" si="4"/>
        <v>188.39999999999998</v>
      </c>
      <c r="K42" s="15">
        <f t="shared" si="5"/>
        <v>3497.6</v>
      </c>
      <c r="L42" s="233"/>
      <c r="M42" s="145"/>
      <c r="N42" s="145"/>
      <c r="O42" s="201" t="s">
        <v>498</v>
      </c>
    </row>
    <row r="43" spans="1:15" s="152" customFormat="1" ht="33.6" customHeight="1" x14ac:dyDescent="0.25">
      <c r="A43" s="10">
        <v>20</v>
      </c>
      <c r="B43" s="153" t="s">
        <v>332</v>
      </c>
      <c r="C43" s="12" t="s">
        <v>55</v>
      </c>
      <c r="D43" s="12">
        <v>9</v>
      </c>
      <c r="E43" s="12">
        <v>9</v>
      </c>
      <c r="F43" s="79"/>
      <c r="G43" s="13">
        <v>0</v>
      </c>
      <c r="H43" s="13"/>
      <c r="I43" s="15">
        <f t="shared" si="7"/>
        <v>0</v>
      </c>
      <c r="J43" s="15">
        <v>9</v>
      </c>
      <c r="K43" s="15">
        <f t="shared" si="5"/>
        <v>0</v>
      </c>
      <c r="L43" s="233"/>
      <c r="M43" s="145"/>
      <c r="N43" s="145"/>
      <c r="O43" s="201" t="s">
        <v>498</v>
      </c>
    </row>
    <row r="44" spans="1:15" s="152" customFormat="1" ht="33.6" customHeight="1" x14ac:dyDescent="0.25">
      <c r="A44" s="10">
        <v>21</v>
      </c>
      <c r="B44" s="11" t="s">
        <v>333</v>
      </c>
      <c r="C44" s="12" t="s">
        <v>55</v>
      </c>
      <c r="D44" s="12">
        <v>2</v>
      </c>
      <c r="E44" s="12">
        <v>0</v>
      </c>
      <c r="F44" s="79"/>
      <c r="G44" s="13">
        <v>0</v>
      </c>
      <c r="H44" s="13"/>
      <c r="I44" s="15">
        <f t="shared" si="7"/>
        <v>0</v>
      </c>
      <c r="J44" s="15">
        <f t="shared" si="4"/>
        <v>0</v>
      </c>
      <c r="K44" s="15">
        <f t="shared" si="5"/>
        <v>2</v>
      </c>
      <c r="L44" s="233"/>
      <c r="M44" s="145"/>
      <c r="N44" s="145"/>
      <c r="O44" s="145"/>
    </row>
    <row r="45" spans="1:15" s="152" customFormat="1" ht="33.6" customHeight="1" x14ac:dyDescent="0.25">
      <c r="A45" s="10">
        <v>22</v>
      </c>
      <c r="B45" s="153" t="s">
        <v>56</v>
      </c>
      <c r="C45" s="12" t="s">
        <v>55</v>
      </c>
      <c r="D45" s="12">
        <v>17</v>
      </c>
      <c r="E45" s="12">
        <v>0</v>
      </c>
      <c r="F45" s="79"/>
      <c r="G45" s="13">
        <v>0</v>
      </c>
      <c r="H45" s="13"/>
      <c r="I45" s="15">
        <f t="shared" si="7"/>
        <v>0</v>
      </c>
      <c r="J45" s="15">
        <f t="shared" si="4"/>
        <v>0</v>
      </c>
      <c r="K45" s="15">
        <f t="shared" si="5"/>
        <v>17</v>
      </c>
      <c r="L45" s="233"/>
      <c r="M45" s="145"/>
      <c r="N45" s="145"/>
      <c r="O45" s="145"/>
    </row>
    <row r="46" spans="1:15" s="152" customFormat="1" ht="33.6" customHeight="1" x14ac:dyDescent="0.25">
      <c r="A46" s="10">
        <v>23</v>
      </c>
      <c r="B46" s="153" t="s">
        <v>57</v>
      </c>
      <c r="C46" s="12" t="s">
        <v>55</v>
      </c>
      <c r="D46" s="12">
        <v>3</v>
      </c>
      <c r="E46" s="12">
        <v>0</v>
      </c>
      <c r="F46" s="79"/>
      <c r="G46" s="13">
        <v>0</v>
      </c>
      <c r="H46" s="13"/>
      <c r="I46" s="15">
        <f t="shared" si="7"/>
        <v>0</v>
      </c>
      <c r="J46" s="15">
        <f t="shared" si="4"/>
        <v>0</v>
      </c>
      <c r="K46" s="15">
        <f t="shared" si="5"/>
        <v>3</v>
      </c>
      <c r="L46" s="233"/>
      <c r="M46" s="145"/>
      <c r="N46" s="145"/>
      <c r="O46" s="145"/>
    </row>
    <row r="47" spans="1:15" s="152" customFormat="1" ht="33.6" customHeight="1" x14ac:dyDescent="0.25">
      <c r="A47" s="10">
        <v>24</v>
      </c>
      <c r="B47" s="153" t="s">
        <v>58</v>
      </c>
      <c r="C47" s="12" t="s">
        <v>25</v>
      </c>
      <c r="D47" s="12">
        <v>347</v>
      </c>
      <c r="E47" s="12">
        <v>0</v>
      </c>
      <c r="F47" s="79"/>
      <c r="G47" s="13">
        <v>0</v>
      </c>
      <c r="H47" s="13"/>
      <c r="I47" s="15">
        <f t="shared" si="7"/>
        <v>0</v>
      </c>
      <c r="J47" s="15">
        <f t="shared" si="4"/>
        <v>0</v>
      </c>
      <c r="K47" s="15">
        <f t="shared" si="5"/>
        <v>347</v>
      </c>
      <c r="L47" s="233"/>
      <c r="M47" s="145"/>
      <c r="N47" s="145"/>
      <c r="O47" s="145"/>
    </row>
    <row r="48" spans="1:15" s="152" customFormat="1" ht="33.6" customHeight="1" x14ac:dyDescent="0.25">
      <c r="A48" s="10">
        <v>25</v>
      </c>
      <c r="B48" s="153" t="s">
        <v>59</v>
      </c>
      <c r="C48" s="12" t="s">
        <v>21</v>
      </c>
      <c r="D48" s="12">
        <v>10440</v>
      </c>
      <c r="E48" s="12">
        <v>0</v>
      </c>
      <c r="F48" s="79"/>
      <c r="G48" s="13">
        <v>0</v>
      </c>
      <c r="H48" s="13"/>
      <c r="I48" s="15">
        <f t="shared" si="7"/>
        <v>0</v>
      </c>
      <c r="J48" s="15">
        <f t="shared" si="4"/>
        <v>0</v>
      </c>
      <c r="K48" s="15">
        <f t="shared" si="5"/>
        <v>10440</v>
      </c>
      <c r="L48" s="233"/>
      <c r="M48" s="145"/>
      <c r="N48" s="145"/>
      <c r="O48" s="145"/>
    </row>
    <row r="49" spans="1:18" s="152" customFormat="1" ht="33.6" customHeight="1" x14ac:dyDescent="0.25">
      <c r="A49" s="10">
        <v>26</v>
      </c>
      <c r="B49" s="153" t="s">
        <v>60</v>
      </c>
      <c r="C49" s="12" t="s">
        <v>35</v>
      </c>
      <c r="D49" s="12">
        <v>9140</v>
      </c>
      <c r="E49" s="12">
        <v>0</v>
      </c>
      <c r="F49" s="79"/>
      <c r="G49" s="13">
        <v>0</v>
      </c>
      <c r="H49" s="13"/>
      <c r="I49" s="15">
        <f t="shared" si="7"/>
        <v>0</v>
      </c>
      <c r="J49" s="15">
        <f t="shared" si="4"/>
        <v>0</v>
      </c>
      <c r="K49" s="15">
        <f t="shared" si="5"/>
        <v>9140</v>
      </c>
      <c r="L49" s="233"/>
      <c r="M49" s="145"/>
      <c r="N49" s="145"/>
      <c r="O49" s="145"/>
    </row>
    <row r="50" spans="1:18" s="152" customFormat="1" ht="33.6" customHeight="1" x14ac:dyDescent="0.25">
      <c r="A50" s="10">
        <v>27</v>
      </c>
      <c r="B50" s="153" t="s">
        <v>61</v>
      </c>
      <c r="C50" s="12" t="s">
        <v>35</v>
      </c>
      <c r="D50" s="12">
        <v>620</v>
      </c>
      <c r="E50" s="12">
        <v>0</v>
      </c>
      <c r="F50" s="79"/>
      <c r="G50" s="13">
        <v>0</v>
      </c>
      <c r="H50" s="13"/>
      <c r="I50" s="15">
        <f t="shared" si="7"/>
        <v>0</v>
      </c>
      <c r="J50" s="15">
        <f t="shared" si="4"/>
        <v>0</v>
      </c>
      <c r="K50" s="15">
        <f t="shared" si="5"/>
        <v>620</v>
      </c>
      <c r="L50" s="233"/>
      <c r="M50" s="145"/>
      <c r="N50" s="145"/>
      <c r="O50" s="145"/>
    </row>
    <row r="51" spans="1:18" s="152" customFormat="1" ht="33.6" customHeight="1" x14ac:dyDescent="0.25">
      <c r="A51" s="10">
        <v>28</v>
      </c>
      <c r="B51" s="153" t="s">
        <v>62</v>
      </c>
      <c r="C51" s="12" t="s">
        <v>39</v>
      </c>
      <c r="D51" s="12">
        <v>12565</v>
      </c>
      <c r="E51" s="12">
        <v>0</v>
      </c>
      <c r="F51" s="79"/>
      <c r="G51" s="156">
        <v>0</v>
      </c>
      <c r="H51" s="13"/>
      <c r="I51" s="15">
        <f t="shared" si="7"/>
        <v>0</v>
      </c>
      <c r="J51" s="15">
        <f t="shared" si="4"/>
        <v>0</v>
      </c>
      <c r="K51" s="15">
        <f t="shared" si="5"/>
        <v>12565</v>
      </c>
      <c r="L51" s="233"/>
      <c r="M51" s="145"/>
      <c r="N51" s="145"/>
      <c r="O51" s="145"/>
    </row>
    <row r="52" spans="1:18" s="152" customFormat="1" ht="33.6" customHeight="1" x14ac:dyDescent="0.25">
      <c r="A52" s="10">
        <v>29</v>
      </c>
      <c r="B52" s="153" t="s">
        <v>63</v>
      </c>
      <c r="C52" s="12" t="s">
        <v>39</v>
      </c>
      <c r="D52" s="12">
        <v>460</v>
      </c>
      <c r="E52" s="12">
        <v>0</v>
      </c>
      <c r="F52" s="79"/>
      <c r="G52" s="13">
        <v>0</v>
      </c>
      <c r="H52" s="13"/>
      <c r="I52" s="15">
        <f t="shared" si="7"/>
        <v>0</v>
      </c>
      <c r="J52" s="15">
        <f t="shared" si="4"/>
        <v>0</v>
      </c>
      <c r="K52" s="15">
        <f t="shared" si="5"/>
        <v>460</v>
      </c>
      <c r="L52" s="233"/>
      <c r="M52" s="145"/>
      <c r="N52" s="145"/>
      <c r="O52" s="145"/>
    </row>
    <row r="53" spans="1:18" s="152" customFormat="1" ht="33.6" customHeight="1" x14ac:dyDescent="0.25">
      <c r="A53" s="10">
        <v>30</v>
      </c>
      <c r="B53" s="153" t="s">
        <v>64</v>
      </c>
      <c r="C53" s="12" t="s">
        <v>25</v>
      </c>
      <c r="D53" s="12">
        <v>98</v>
      </c>
      <c r="E53" s="12">
        <v>0</v>
      </c>
      <c r="F53" s="79"/>
      <c r="G53" s="13">
        <v>0</v>
      </c>
      <c r="H53" s="13"/>
      <c r="I53" s="15">
        <f t="shared" si="7"/>
        <v>0</v>
      </c>
      <c r="J53" s="15">
        <f t="shared" si="4"/>
        <v>0</v>
      </c>
      <c r="K53" s="15">
        <f t="shared" si="5"/>
        <v>98</v>
      </c>
      <c r="L53" s="233"/>
      <c r="M53" s="145"/>
      <c r="N53" s="145"/>
      <c r="O53" s="145"/>
    </row>
    <row r="54" spans="1:18" s="152" customFormat="1" ht="33.6" customHeight="1" x14ac:dyDescent="0.25">
      <c r="A54" s="10">
        <v>31</v>
      </c>
      <c r="B54" s="153" t="s">
        <v>65</v>
      </c>
      <c r="C54" s="12" t="s">
        <v>25</v>
      </c>
      <c r="D54" s="12">
        <v>79</v>
      </c>
      <c r="E54" s="12">
        <v>0</v>
      </c>
      <c r="F54" s="79"/>
      <c r="G54" s="13">
        <v>0</v>
      </c>
      <c r="H54" s="13"/>
      <c r="I54" s="15">
        <f t="shared" si="7"/>
        <v>0</v>
      </c>
      <c r="J54" s="15">
        <f t="shared" si="4"/>
        <v>0</v>
      </c>
      <c r="K54" s="15">
        <f t="shared" si="5"/>
        <v>79</v>
      </c>
      <c r="L54" s="233"/>
      <c r="M54" s="145"/>
      <c r="N54" s="145"/>
      <c r="O54" s="145"/>
    </row>
    <row r="55" spans="1:18" s="152" customFormat="1" ht="33.6" customHeight="1" x14ac:dyDescent="0.25">
      <c r="A55" s="10">
        <v>32</v>
      </c>
      <c r="B55" s="153" t="s">
        <v>66</v>
      </c>
      <c r="C55" s="12" t="s">
        <v>25</v>
      </c>
      <c r="D55" s="12">
        <v>776</v>
      </c>
      <c r="E55" s="12">
        <v>0</v>
      </c>
      <c r="F55" s="79"/>
      <c r="G55" s="13">
        <v>0</v>
      </c>
      <c r="H55" s="13"/>
      <c r="I55" s="15">
        <f t="shared" si="7"/>
        <v>0</v>
      </c>
      <c r="J55" s="15">
        <f t="shared" si="4"/>
        <v>0</v>
      </c>
      <c r="K55" s="15">
        <f t="shared" si="5"/>
        <v>776</v>
      </c>
      <c r="L55" s="233"/>
      <c r="M55" s="145"/>
      <c r="N55" s="145"/>
      <c r="O55" s="145"/>
    </row>
    <row r="56" spans="1:18" s="152" customFormat="1" ht="33.6" customHeight="1" x14ac:dyDescent="0.25">
      <c r="A56" s="10">
        <v>33</v>
      </c>
      <c r="B56" s="153" t="s">
        <v>67</v>
      </c>
      <c r="C56" s="12" t="s">
        <v>68</v>
      </c>
      <c r="D56" s="12">
        <v>4680</v>
      </c>
      <c r="E56" s="12">
        <v>0</v>
      </c>
      <c r="F56" s="79"/>
      <c r="G56" s="13">
        <v>0</v>
      </c>
      <c r="H56" s="13"/>
      <c r="I56" s="15">
        <f t="shared" si="7"/>
        <v>0</v>
      </c>
      <c r="J56" s="15">
        <f t="shared" si="4"/>
        <v>0</v>
      </c>
      <c r="K56" s="15">
        <f t="shared" si="5"/>
        <v>4680</v>
      </c>
      <c r="L56" s="233"/>
      <c r="M56" s="145"/>
      <c r="N56" s="145"/>
      <c r="O56" s="145"/>
    </row>
    <row r="57" spans="1:18" s="152" customFormat="1" ht="33.6" customHeight="1" x14ac:dyDescent="0.25">
      <c r="A57" s="10">
        <v>34</v>
      </c>
      <c r="B57" s="153" t="s">
        <v>69</v>
      </c>
      <c r="C57" s="12" t="s">
        <v>25</v>
      </c>
      <c r="D57" s="12">
        <v>122</v>
      </c>
      <c r="E57" s="12">
        <v>0</v>
      </c>
      <c r="F57" s="79"/>
      <c r="G57" s="13">
        <v>0</v>
      </c>
      <c r="H57" s="13"/>
      <c r="I57" s="15">
        <f t="shared" si="7"/>
        <v>0</v>
      </c>
      <c r="J57" s="15">
        <f t="shared" si="4"/>
        <v>0</v>
      </c>
      <c r="K57" s="15">
        <f t="shared" si="5"/>
        <v>122</v>
      </c>
      <c r="L57" s="233"/>
      <c r="M57" s="145"/>
      <c r="N57" s="145"/>
      <c r="O57" s="145"/>
    </row>
    <row r="58" spans="1:18" s="152" customFormat="1" ht="33.6" customHeight="1" x14ac:dyDescent="0.25">
      <c r="A58" s="10">
        <v>35</v>
      </c>
      <c r="B58" s="153" t="s">
        <v>70</v>
      </c>
      <c r="C58" s="12" t="s">
        <v>25</v>
      </c>
      <c r="D58" s="12">
        <v>208</v>
      </c>
      <c r="E58" s="12">
        <v>0</v>
      </c>
      <c r="F58" s="79"/>
      <c r="G58" s="13">
        <v>0</v>
      </c>
      <c r="H58" s="13"/>
      <c r="I58" s="15">
        <f t="shared" si="7"/>
        <v>0</v>
      </c>
      <c r="J58" s="15">
        <f t="shared" si="4"/>
        <v>0</v>
      </c>
      <c r="K58" s="15">
        <f t="shared" si="5"/>
        <v>208</v>
      </c>
      <c r="L58" s="233"/>
      <c r="M58" s="145"/>
      <c r="N58" s="145"/>
      <c r="O58" s="145"/>
    </row>
    <row r="59" spans="1:18" s="152" customFormat="1" ht="33.6" customHeight="1" x14ac:dyDescent="0.25">
      <c r="A59" s="10">
        <v>36</v>
      </c>
      <c r="B59" s="153" t="s">
        <v>364</v>
      </c>
      <c r="C59" s="12" t="s">
        <v>25</v>
      </c>
      <c r="D59" s="12">
        <v>641</v>
      </c>
      <c r="E59" s="12">
        <v>0</v>
      </c>
      <c r="F59" s="79"/>
      <c r="G59" s="13">
        <v>0</v>
      </c>
      <c r="H59" s="13"/>
      <c r="I59" s="15">
        <f t="shared" si="7"/>
        <v>0</v>
      </c>
      <c r="J59" s="15">
        <f t="shared" si="4"/>
        <v>0</v>
      </c>
      <c r="K59" s="15">
        <f t="shared" si="5"/>
        <v>641</v>
      </c>
      <c r="L59" s="233"/>
      <c r="M59" s="145"/>
      <c r="N59" s="145"/>
      <c r="O59" s="145"/>
    </row>
    <row r="60" spans="1:18" s="152" customFormat="1" ht="33.6" customHeight="1" x14ac:dyDescent="0.25">
      <c r="A60" s="10">
        <v>37</v>
      </c>
      <c r="B60" s="153" t="s">
        <v>364</v>
      </c>
      <c r="C60" s="12" t="s">
        <v>25</v>
      </c>
      <c r="D60" s="12">
        <v>213</v>
      </c>
      <c r="E60" s="12">
        <v>0</v>
      </c>
      <c r="F60" s="79"/>
      <c r="G60" s="13">
        <v>0</v>
      </c>
      <c r="H60" s="13"/>
      <c r="I60" s="15">
        <f t="shared" si="7"/>
        <v>0</v>
      </c>
      <c r="J60" s="15">
        <f t="shared" si="4"/>
        <v>0</v>
      </c>
      <c r="K60" s="15">
        <f t="shared" si="5"/>
        <v>213</v>
      </c>
      <c r="L60" s="233"/>
      <c r="M60" s="145"/>
      <c r="N60" s="145"/>
      <c r="O60" s="145"/>
    </row>
    <row r="61" spans="1:18" s="152" customFormat="1" ht="15" x14ac:dyDescent="0.25">
      <c r="A61" s="10"/>
      <c r="B61" s="153"/>
      <c r="C61" s="12"/>
      <c r="D61" s="12"/>
      <c r="E61" s="12"/>
      <c r="F61" s="79"/>
      <c r="G61" s="13"/>
      <c r="H61" s="13"/>
      <c r="I61" s="14"/>
      <c r="J61" s="14"/>
      <c r="K61" s="14"/>
      <c r="L61" s="157"/>
      <c r="M61" s="145"/>
      <c r="N61" s="145"/>
      <c r="O61" s="145"/>
    </row>
    <row r="62" spans="1:18" s="130" customFormat="1" ht="15.75" x14ac:dyDescent="0.25">
      <c r="A62" s="5" t="s">
        <v>71</v>
      </c>
      <c r="B62" s="16" t="s">
        <v>72</v>
      </c>
      <c r="C62" s="8"/>
      <c r="D62" s="8"/>
      <c r="E62" s="8"/>
      <c r="F62" s="8"/>
      <c r="G62" s="131"/>
      <c r="H62" s="134"/>
      <c r="I62" s="8"/>
      <c r="J62" s="8"/>
      <c r="K62" s="8"/>
      <c r="L62" s="9"/>
      <c r="M62" s="145"/>
      <c r="N62" s="145"/>
      <c r="O62" s="145"/>
    </row>
    <row r="63" spans="1:18" s="152" customFormat="1" ht="31.9" customHeight="1" x14ac:dyDescent="0.25">
      <c r="A63" s="10">
        <v>1</v>
      </c>
      <c r="B63" s="153" t="s">
        <v>73</v>
      </c>
      <c r="C63" s="12" t="s">
        <v>74</v>
      </c>
      <c r="D63" s="12">
        <v>20</v>
      </c>
      <c r="E63" s="12">
        <v>0</v>
      </c>
      <c r="F63" s="79"/>
      <c r="G63" s="13">
        <v>0</v>
      </c>
      <c r="H63" s="13"/>
      <c r="I63" s="15">
        <f t="shared" ref="I63:I95" si="8">G63+H63</f>
        <v>0</v>
      </c>
      <c r="J63" s="15">
        <f t="shared" ref="J63:J95" si="9">E63+I63</f>
        <v>0</v>
      </c>
      <c r="K63" s="15">
        <f t="shared" ref="K63:K95" si="10">D63-J63</f>
        <v>20</v>
      </c>
      <c r="L63" s="218"/>
      <c r="M63" s="145"/>
      <c r="N63" s="145"/>
      <c r="O63" s="145"/>
    </row>
    <row r="64" spans="1:18" s="152" customFormat="1" ht="31.9" customHeight="1" x14ac:dyDescent="0.25">
      <c r="A64" s="200">
        <v>2</v>
      </c>
      <c r="B64" s="153" t="s">
        <v>75</v>
      </c>
      <c r="C64" s="12" t="s">
        <v>55</v>
      </c>
      <c r="D64" s="13">
        <v>4400</v>
      </c>
      <c r="E64" s="13">
        <v>3383</v>
      </c>
      <c r="F64" s="78">
        <v>400</v>
      </c>
      <c r="G64" s="13">
        <v>0</v>
      </c>
      <c r="H64" s="13"/>
      <c r="I64" s="13">
        <f t="shared" si="8"/>
        <v>0</v>
      </c>
      <c r="J64" s="13">
        <v>3383</v>
      </c>
      <c r="K64" s="13">
        <f t="shared" si="10"/>
        <v>1017</v>
      </c>
      <c r="L64" s="218"/>
      <c r="M64" s="145"/>
      <c r="N64" s="145"/>
      <c r="O64" s="145" t="s">
        <v>500</v>
      </c>
      <c r="P64" s="213">
        <f>2266.7-2257.3</f>
        <v>9.3999999999996362</v>
      </c>
      <c r="Q64" s="213">
        <f>1575.1-1534.9</f>
        <v>40.199999999999818</v>
      </c>
      <c r="R64" s="213">
        <f>2280.2-2292.2</f>
        <v>-12</v>
      </c>
    </row>
    <row r="65" spans="1:16" s="152" customFormat="1" ht="31.9" customHeight="1" x14ac:dyDescent="0.25">
      <c r="A65" s="10">
        <v>3</v>
      </c>
      <c r="B65" s="153" t="s">
        <v>76</v>
      </c>
      <c r="C65" s="12"/>
      <c r="D65" s="13"/>
      <c r="E65" s="13">
        <v>0</v>
      </c>
      <c r="F65" s="78"/>
      <c r="G65" s="13">
        <v>0</v>
      </c>
      <c r="H65" s="13"/>
      <c r="I65" s="13">
        <f t="shared" ref="I65:I70" si="11">G65+H65</f>
        <v>0</v>
      </c>
      <c r="J65" s="13">
        <f t="shared" ref="J65" si="12">E65+I65</f>
        <v>0</v>
      </c>
      <c r="K65" s="13">
        <f>D65-J65</f>
        <v>0</v>
      </c>
      <c r="L65" s="218"/>
      <c r="M65" s="145"/>
      <c r="N65" s="145">
        <f>1671.9-J67</f>
        <v>-35.599999999999909</v>
      </c>
      <c r="O65" s="145">
        <f>N65-29.5</f>
        <v>-65.099999999999909</v>
      </c>
    </row>
    <row r="66" spans="1:16" s="152" customFormat="1" ht="31.9" customHeight="1" x14ac:dyDescent="0.25">
      <c r="A66" s="200"/>
      <c r="B66" s="155" t="s">
        <v>77</v>
      </c>
      <c r="C66" s="12" t="s">
        <v>55</v>
      </c>
      <c r="D66" s="13">
        <v>4400</v>
      </c>
      <c r="E66" s="184">
        <v>2160.1</v>
      </c>
      <c r="F66" s="78">
        <v>500</v>
      </c>
      <c r="G66" s="13">
        <v>179.6</v>
      </c>
      <c r="H66" s="212">
        <v>10</v>
      </c>
      <c r="I66" s="13">
        <f t="shared" si="11"/>
        <v>189.6</v>
      </c>
      <c r="J66" s="13">
        <f>I66+E66</f>
        <v>2349.6999999999998</v>
      </c>
      <c r="K66" s="13">
        <f>D66-J66</f>
        <v>2050.3000000000002</v>
      </c>
      <c r="L66" s="218"/>
      <c r="M66" s="145">
        <f>1755.1-J66</f>
        <v>-594.59999999999991</v>
      </c>
      <c r="N66" s="145"/>
      <c r="O66" s="145" t="s">
        <v>501</v>
      </c>
      <c r="P66" s="152">
        <f>2257-2169.8</f>
        <v>87.199999999999818</v>
      </c>
    </row>
    <row r="67" spans="1:16" s="152" customFormat="1" ht="31.9" customHeight="1" x14ac:dyDescent="0.25">
      <c r="A67" s="200"/>
      <c r="B67" s="155" t="s">
        <v>270</v>
      </c>
      <c r="C67" s="12" t="s">
        <v>55</v>
      </c>
      <c r="D67" s="188">
        <v>4400</v>
      </c>
      <c r="E67" s="184">
        <v>1457.8</v>
      </c>
      <c r="F67" s="182">
        <v>500</v>
      </c>
      <c r="G67" s="188">
        <v>242.70000000000002</v>
      </c>
      <c r="H67" s="188">
        <v>7</v>
      </c>
      <c r="I67" s="188">
        <f t="shared" si="11"/>
        <v>249.70000000000002</v>
      </c>
      <c r="J67" s="188">
        <f>I67+E67</f>
        <v>1707.5</v>
      </c>
      <c r="K67" s="188">
        <f>D67-J67</f>
        <v>2692.5</v>
      </c>
      <c r="L67" s="218"/>
      <c r="M67" s="145">
        <f>1289.5-J67</f>
        <v>-418</v>
      </c>
      <c r="N67" s="145"/>
      <c r="O67" s="145" t="s">
        <v>501</v>
      </c>
      <c r="P67" s="194">
        <f>1534.9-J67</f>
        <v>-172.59999999999991</v>
      </c>
    </row>
    <row r="68" spans="1:16" s="152" customFormat="1" ht="31.9" customHeight="1" x14ac:dyDescent="0.25">
      <c r="A68" s="10"/>
      <c r="B68" s="155" t="s">
        <v>37</v>
      </c>
      <c r="C68" s="12" t="s">
        <v>55</v>
      </c>
      <c r="D68" s="188">
        <v>4400</v>
      </c>
      <c r="E68" s="184">
        <v>1797.6999999999998</v>
      </c>
      <c r="F68" s="182">
        <v>500</v>
      </c>
      <c r="G68" s="188">
        <v>564.69999999999993</v>
      </c>
      <c r="H68" s="188">
        <v>12</v>
      </c>
      <c r="I68" s="188">
        <f t="shared" si="11"/>
        <v>576.69999999999993</v>
      </c>
      <c r="J68" s="188">
        <f>E68+I68</f>
        <v>2374.3999999999996</v>
      </c>
      <c r="K68" s="188">
        <f>D68-J68</f>
        <v>2025.6000000000004</v>
      </c>
      <c r="L68" s="218"/>
      <c r="M68" s="145">
        <f>1797.7-J68</f>
        <v>-576.69999999999959</v>
      </c>
      <c r="N68" s="145"/>
      <c r="O68" s="145" t="s">
        <v>501</v>
      </c>
      <c r="P68" s="194">
        <f>2280.2-J68</f>
        <v>-94.199999999999818</v>
      </c>
    </row>
    <row r="69" spans="1:16" s="152" customFormat="1" ht="31.9" customHeight="1" x14ac:dyDescent="0.25">
      <c r="A69" s="10">
        <v>4</v>
      </c>
      <c r="B69" s="153" t="s">
        <v>78</v>
      </c>
      <c r="C69" s="12" t="s">
        <v>55</v>
      </c>
      <c r="D69" s="13">
        <v>4400</v>
      </c>
      <c r="E69" s="13">
        <v>3181</v>
      </c>
      <c r="F69" s="78">
        <v>300</v>
      </c>
      <c r="G69" s="180">
        <v>0</v>
      </c>
      <c r="H69" s="13"/>
      <c r="I69" s="13">
        <f t="shared" si="11"/>
        <v>0</v>
      </c>
      <c r="J69" s="13">
        <v>3181</v>
      </c>
      <c r="K69" s="13">
        <f t="shared" ref="K69:K75" si="13">D69-J69</f>
        <v>1219</v>
      </c>
      <c r="L69" s="218"/>
      <c r="O69" s="202" t="s">
        <v>498</v>
      </c>
    </row>
    <row r="70" spans="1:16" s="152" customFormat="1" ht="31.9" customHeight="1" x14ac:dyDescent="0.25">
      <c r="A70" s="10">
        <v>5</v>
      </c>
      <c r="B70" s="153" t="s">
        <v>79</v>
      </c>
      <c r="C70" s="12" t="s">
        <v>55</v>
      </c>
      <c r="D70" s="12">
        <v>2</v>
      </c>
      <c r="E70" s="12">
        <v>0</v>
      </c>
      <c r="F70" s="79"/>
      <c r="G70" s="13">
        <v>0</v>
      </c>
      <c r="H70" s="13"/>
      <c r="I70" s="15">
        <f t="shared" si="11"/>
        <v>0</v>
      </c>
      <c r="J70" s="15">
        <f t="shared" ref="J70:J75" si="14">E70+I70</f>
        <v>0</v>
      </c>
      <c r="K70" s="15">
        <f t="shared" si="13"/>
        <v>2</v>
      </c>
      <c r="L70" s="218"/>
      <c r="M70" s="194">
        <f>2321.6-J66</f>
        <v>-28.099999999999909</v>
      </c>
      <c r="N70" s="194">
        <f>M70-1.2</f>
        <v>-29.299999999999908</v>
      </c>
    </row>
    <row r="71" spans="1:16" s="152" customFormat="1" ht="31.9" customHeight="1" x14ac:dyDescent="0.25">
      <c r="A71" s="10">
        <v>6</v>
      </c>
      <c r="B71" s="153" t="s">
        <v>502</v>
      </c>
      <c r="C71" s="12" t="s">
        <v>55</v>
      </c>
      <c r="D71" s="193">
        <v>250</v>
      </c>
      <c r="E71" s="193">
        <v>145</v>
      </c>
      <c r="F71" s="182">
        <v>100</v>
      </c>
      <c r="G71" s="193"/>
      <c r="H71" s="193"/>
      <c r="I71" s="193"/>
      <c r="J71" s="193">
        <v>145</v>
      </c>
      <c r="K71" s="193">
        <f t="shared" si="13"/>
        <v>105</v>
      </c>
      <c r="L71" s="218"/>
      <c r="M71" s="145">
        <f>2349.4-J68</f>
        <v>-24.999999999999545</v>
      </c>
      <c r="N71" s="145"/>
      <c r="O71" s="202" t="s">
        <v>498</v>
      </c>
    </row>
    <row r="72" spans="1:16" s="152" customFormat="1" ht="31.9" customHeight="1" x14ac:dyDescent="0.25">
      <c r="A72" s="10">
        <v>7</v>
      </c>
      <c r="B72" s="153" t="s">
        <v>503</v>
      </c>
      <c r="C72" s="12" t="s">
        <v>55</v>
      </c>
      <c r="D72" s="12">
        <v>250</v>
      </c>
      <c r="E72" s="12">
        <v>7</v>
      </c>
      <c r="F72" s="79"/>
      <c r="G72" s="13">
        <v>0</v>
      </c>
      <c r="H72" s="13"/>
      <c r="I72" s="15">
        <f>G72+H72</f>
        <v>0</v>
      </c>
      <c r="J72" s="15">
        <v>7</v>
      </c>
      <c r="K72" s="15">
        <f t="shared" si="13"/>
        <v>243</v>
      </c>
      <c r="L72" s="218"/>
      <c r="M72" s="145"/>
      <c r="N72" s="145"/>
      <c r="O72" s="202" t="s">
        <v>498</v>
      </c>
      <c r="P72" s="152">
        <v>7</v>
      </c>
    </row>
    <row r="73" spans="1:16" s="152" customFormat="1" ht="31.9" customHeight="1" x14ac:dyDescent="0.25">
      <c r="A73" s="10">
        <v>8</v>
      </c>
      <c r="B73" s="153" t="s">
        <v>328</v>
      </c>
      <c r="C73" s="12" t="s">
        <v>55</v>
      </c>
      <c r="D73" s="12">
        <v>0.05</v>
      </c>
      <c r="E73" s="14">
        <v>0</v>
      </c>
      <c r="F73" s="79"/>
      <c r="G73" s="13">
        <v>0</v>
      </c>
      <c r="H73" s="13"/>
      <c r="I73" s="15">
        <f>G73+H73</f>
        <v>0</v>
      </c>
      <c r="J73" s="15">
        <f t="shared" si="14"/>
        <v>0</v>
      </c>
      <c r="K73" s="15">
        <f t="shared" si="13"/>
        <v>0.05</v>
      </c>
      <c r="L73" s="218"/>
      <c r="M73" s="145"/>
      <c r="N73" s="145"/>
      <c r="O73" s="145"/>
    </row>
    <row r="74" spans="1:16" s="152" customFormat="1" ht="31.9" customHeight="1" x14ac:dyDescent="0.25">
      <c r="A74" s="10">
        <v>9</v>
      </c>
      <c r="B74" s="153" t="s">
        <v>80</v>
      </c>
      <c r="C74" s="12" t="s">
        <v>81</v>
      </c>
      <c r="D74" s="12">
        <v>20</v>
      </c>
      <c r="E74" s="14">
        <v>0</v>
      </c>
      <c r="F74" s="79"/>
      <c r="G74" s="13">
        <v>0</v>
      </c>
      <c r="H74" s="13"/>
      <c r="I74" s="15">
        <f>G74+H74</f>
        <v>0</v>
      </c>
      <c r="J74" s="15">
        <f t="shared" si="14"/>
        <v>0</v>
      </c>
      <c r="K74" s="15">
        <f t="shared" si="13"/>
        <v>20</v>
      </c>
      <c r="L74" s="218"/>
      <c r="M74" s="145"/>
      <c r="N74" s="145"/>
      <c r="O74" s="145"/>
    </row>
    <row r="75" spans="1:16" s="152" customFormat="1" ht="31.9" customHeight="1" x14ac:dyDescent="0.25">
      <c r="A75" s="10">
        <v>10</v>
      </c>
      <c r="B75" s="153" t="s">
        <v>489</v>
      </c>
      <c r="C75" s="12" t="s">
        <v>21</v>
      </c>
      <c r="D75" s="193">
        <v>4400</v>
      </c>
      <c r="E75" s="193">
        <v>0</v>
      </c>
      <c r="F75" s="182">
        <v>1500</v>
      </c>
      <c r="G75" s="193"/>
      <c r="H75" s="193"/>
      <c r="I75" s="193"/>
      <c r="J75" s="193">
        <f t="shared" si="14"/>
        <v>0</v>
      </c>
      <c r="K75" s="193">
        <f t="shared" si="13"/>
        <v>4400</v>
      </c>
      <c r="L75" s="218"/>
      <c r="M75" s="145"/>
      <c r="N75" s="145"/>
      <c r="O75" s="145"/>
    </row>
    <row r="76" spans="1:16" s="152" customFormat="1" ht="31.9" customHeight="1" x14ac:dyDescent="0.25">
      <c r="A76" s="10">
        <v>11</v>
      </c>
      <c r="B76" s="153" t="s">
        <v>492</v>
      </c>
      <c r="C76" s="12" t="s">
        <v>21</v>
      </c>
      <c r="D76" s="12">
        <v>4400</v>
      </c>
      <c r="E76" s="14">
        <v>0</v>
      </c>
      <c r="F76" s="79"/>
      <c r="G76" s="13">
        <v>0</v>
      </c>
      <c r="H76" s="13"/>
      <c r="I76" s="15">
        <f t="shared" si="8"/>
        <v>0</v>
      </c>
      <c r="J76" s="15">
        <f t="shared" si="9"/>
        <v>0</v>
      </c>
      <c r="K76" s="15">
        <f t="shared" si="10"/>
        <v>4400</v>
      </c>
      <c r="L76" s="218"/>
      <c r="M76" s="145"/>
      <c r="N76" s="145"/>
      <c r="O76" s="145"/>
    </row>
    <row r="77" spans="1:16" s="152" customFormat="1" ht="31.9" customHeight="1" x14ac:dyDescent="0.25">
      <c r="A77" s="10">
        <v>12</v>
      </c>
      <c r="B77" s="153" t="s">
        <v>82</v>
      </c>
      <c r="C77" s="12" t="s">
        <v>81</v>
      </c>
      <c r="D77" s="12">
        <v>30</v>
      </c>
      <c r="E77" s="14">
        <v>0</v>
      </c>
      <c r="F77" s="79"/>
      <c r="G77" s="13">
        <v>0</v>
      </c>
      <c r="H77" s="13"/>
      <c r="I77" s="15">
        <f t="shared" si="8"/>
        <v>0</v>
      </c>
      <c r="J77" s="15">
        <f t="shared" si="9"/>
        <v>0</v>
      </c>
      <c r="K77" s="15">
        <f t="shared" si="10"/>
        <v>30</v>
      </c>
      <c r="L77" s="218"/>
      <c r="M77" s="145"/>
      <c r="N77" s="145"/>
      <c r="O77" s="145"/>
    </row>
    <row r="78" spans="1:16" s="152" customFormat="1" ht="31.9" customHeight="1" x14ac:dyDescent="0.25">
      <c r="A78" s="10">
        <v>13</v>
      </c>
      <c r="B78" s="153" t="s">
        <v>83</v>
      </c>
      <c r="C78" s="12" t="s">
        <v>55</v>
      </c>
      <c r="D78" s="12">
        <v>1</v>
      </c>
      <c r="E78" s="14">
        <v>0</v>
      </c>
      <c r="F78" s="79"/>
      <c r="G78" s="13">
        <v>0</v>
      </c>
      <c r="H78" s="13"/>
      <c r="I78" s="15">
        <f t="shared" si="8"/>
        <v>0</v>
      </c>
      <c r="J78" s="15">
        <f t="shared" si="9"/>
        <v>0</v>
      </c>
      <c r="K78" s="15">
        <f t="shared" si="10"/>
        <v>1</v>
      </c>
      <c r="L78" s="218"/>
      <c r="M78" s="145"/>
      <c r="N78" s="145"/>
      <c r="O78" s="145"/>
    </row>
    <row r="79" spans="1:16" s="152" customFormat="1" ht="31.9" customHeight="1" x14ac:dyDescent="0.25">
      <c r="A79" s="10">
        <v>14</v>
      </c>
      <c r="B79" s="153" t="s">
        <v>84</v>
      </c>
      <c r="C79" s="12" t="s">
        <v>74</v>
      </c>
      <c r="D79" s="12">
        <v>10</v>
      </c>
      <c r="E79" s="14">
        <v>0</v>
      </c>
      <c r="F79" s="79"/>
      <c r="G79" s="13">
        <v>0</v>
      </c>
      <c r="H79" s="13"/>
      <c r="I79" s="15">
        <f t="shared" si="8"/>
        <v>0</v>
      </c>
      <c r="J79" s="15">
        <f t="shared" si="9"/>
        <v>0</v>
      </c>
      <c r="K79" s="15">
        <f t="shared" si="10"/>
        <v>10</v>
      </c>
      <c r="L79" s="218"/>
      <c r="M79" s="145"/>
      <c r="N79" s="145"/>
      <c r="O79" s="145"/>
    </row>
    <row r="80" spans="1:16" s="152" customFormat="1" ht="31.9" customHeight="1" x14ac:dyDescent="0.25">
      <c r="A80" s="10">
        <v>15</v>
      </c>
      <c r="B80" s="153" t="s">
        <v>85</v>
      </c>
      <c r="C80" s="12" t="s">
        <v>55</v>
      </c>
      <c r="D80" s="12">
        <v>2</v>
      </c>
      <c r="E80" s="14">
        <v>0</v>
      </c>
      <c r="F80" s="79"/>
      <c r="G80" s="13">
        <v>0</v>
      </c>
      <c r="H80" s="13"/>
      <c r="I80" s="15">
        <f t="shared" si="8"/>
        <v>0</v>
      </c>
      <c r="J80" s="15">
        <f t="shared" si="9"/>
        <v>0</v>
      </c>
      <c r="K80" s="15">
        <f t="shared" si="10"/>
        <v>2</v>
      </c>
      <c r="L80" s="218"/>
      <c r="M80" s="145"/>
      <c r="N80" s="145"/>
      <c r="O80" s="145"/>
    </row>
    <row r="81" spans="1:15" s="152" customFormat="1" ht="31.9" customHeight="1" x14ac:dyDescent="0.25">
      <c r="A81" s="10">
        <v>16</v>
      </c>
      <c r="B81" s="153" t="s">
        <v>86</v>
      </c>
      <c r="C81" s="12" t="s">
        <v>21</v>
      </c>
      <c r="D81" s="12">
        <v>8260</v>
      </c>
      <c r="E81" s="14">
        <v>0</v>
      </c>
      <c r="F81" s="79"/>
      <c r="G81" s="13">
        <v>0</v>
      </c>
      <c r="H81" s="13"/>
      <c r="I81" s="15">
        <f t="shared" si="8"/>
        <v>0</v>
      </c>
      <c r="J81" s="15">
        <f t="shared" si="9"/>
        <v>0</v>
      </c>
      <c r="K81" s="15">
        <f t="shared" si="10"/>
        <v>8260</v>
      </c>
      <c r="L81" s="218"/>
      <c r="M81" s="145"/>
      <c r="N81" s="145"/>
      <c r="O81" s="145"/>
    </row>
    <row r="82" spans="1:15" s="152" customFormat="1" ht="31.9" customHeight="1" x14ac:dyDescent="0.25">
      <c r="A82" s="10">
        <v>17</v>
      </c>
      <c r="B82" s="153" t="s">
        <v>87</v>
      </c>
      <c r="C82" s="12" t="s">
        <v>74</v>
      </c>
      <c r="D82" s="12">
        <v>3090</v>
      </c>
      <c r="E82" s="14">
        <v>0</v>
      </c>
      <c r="F82" s="79"/>
      <c r="G82" s="13">
        <v>0</v>
      </c>
      <c r="H82" s="13"/>
      <c r="I82" s="15">
        <f t="shared" si="8"/>
        <v>0</v>
      </c>
      <c r="J82" s="15">
        <f t="shared" si="9"/>
        <v>0</v>
      </c>
      <c r="K82" s="15">
        <f t="shared" si="10"/>
        <v>3090</v>
      </c>
      <c r="L82" s="218"/>
      <c r="M82" s="145"/>
      <c r="N82" s="145"/>
      <c r="O82" s="145"/>
    </row>
    <row r="83" spans="1:15" s="152" customFormat="1" ht="31.9" customHeight="1" x14ac:dyDescent="0.25">
      <c r="A83" s="10">
        <v>18</v>
      </c>
      <c r="B83" s="153" t="s">
        <v>329</v>
      </c>
      <c r="C83" s="12" t="s">
        <v>81</v>
      </c>
      <c r="D83" s="12">
        <v>5</v>
      </c>
      <c r="E83" s="14">
        <v>0</v>
      </c>
      <c r="F83" s="79"/>
      <c r="G83" s="13">
        <v>0</v>
      </c>
      <c r="H83" s="13"/>
      <c r="I83" s="15">
        <f t="shared" si="8"/>
        <v>0</v>
      </c>
      <c r="J83" s="15">
        <f t="shared" si="9"/>
        <v>0</v>
      </c>
      <c r="K83" s="15">
        <f t="shared" si="10"/>
        <v>5</v>
      </c>
      <c r="L83" s="218"/>
      <c r="M83" s="145"/>
      <c r="N83" s="145"/>
      <c r="O83" s="145"/>
    </row>
    <row r="84" spans="1:15" s="152" customFormat="1" ht="31.9" customHeight="1" x14ac:dyDescent="0.25">
      <c r="A84" s="10">
        <v>19</v>
      </c>
      <c r="B84" s="153" t="s">
        <v>88</v>
      </c>
      <c r="C84" s="12" t="s">
        <v>25</v>
      </c>
      <c r="D84" s="12">
        <v>1005</v>
      </c>
      <c r="E84" s="14">
        <v>0</v>
      </c>
      <c r="F84" s="79"/>
      <c r="G84" s="156">
        <v>0</v>
      </c>
      <c r="H84" s="13"/>
      <c r="I84" s="15">
        <f t="shared" si="8"/>
        <v>0</v>
      </c>
      <c r="J84" s="15">
        <f t="shared" si="9"/>
        <v>0</v>
      </c>
      <c r="K84" s="15">
        <f t="shared" si="10"/>
        <v>1005</v>
      </c>
      <c r="L84" s="218"/>
      <c r="M84" s="145"/>
      <c r="N84" s="145"/>
      <c r="O84" s="145"/>
    </row>
    <row r="85" spans="1:15" s="152" customFormat="1" ht="30" x14ac:dyDescent="0.25">
      <c r="A85" s="10">
        <v>20</v>
      </c>
      <c r="B85" s="153" t="s">
        <v>89</v>
      </c>
      <c r="C85" s="12" t="s">
        <v>25</v>
      </c>
      <c r="D85" s="12">
        <v>5</v>
      </c>
      <c r="E85" s="14">
        <v>0</v>
      </c>
      <c r="F85" s="79"/>
      <c r="G85" s="13">
        <v>0</v>
      </c>
      <c r="H85" s="13"/>
      <c r="I85" s="15">
        <f t="shared" si="8"/>
        <v>0</v>
      </c>
      <c r="J85" s="15">
        <f t="shared" si="9"/>
        <v>0</v>
      </c>
      <c r="K85" s="15">
        <f t="shared" si="10"/>
        <v>5</v>
      </c>
      <c r="L85" s="218"/>
      <c r="M85" s="145"/>
      <c r="N85" s="145"/>
      <c r="O85" s="145"/>
    </row>
    <row r="86" spans="1:15" s="152" customFormat="1" ht="22.9" customHeight="1" x14ac:dyDescent="0.25">
      <c r="A86" s="10">
        <v>21</v>
      </c>
      <c r="B86" s="153" t="s">
        <v>90</v>
      </c>
      <c r="C86" s="12" t="s">
        <v>25</v>
      </c>
      <c r="D86" s="12">
        <v>44</v>
      </c>
      <c r="E86" s="14">
        <v>0</v>
      </c>
      <c r="F86" s="79"/>
      <c r="G86" s="13">
        <v>0</v>
      </c>
      <c r="H86" s="13"/>
      <c r="I86" s="15">
        <f t="shared" si="8"/>
        <v>0</v>
      </c>
      <c r="J86" s="15">
        <f t="shared" si="9"/>
        <v>0</v>
      </c>
      <c r="K86" s="15">
        <f t="shared" si="10"/>
        <v>44</v>
      </c>
      <c r="L86" s="218"/>
      <c r="M86" s="145"/>
      <c r="N86" s="145"/>
      <c r="O86" s="145"/>
    </row>
    <row r="87" spans="1:15" s="152" customFormat="1" ht="22.9" customHeight="1" x14ac:dyDescent="0.25">
      <c r="A87" s="10">
        <v>22</v>
      </c>
      <c r="B87" s="153" t="s">
        <v>91</v>
      </c>
      <c r="C87" s="12" t="s">
        <v>25</v>
      </c>
      <c r="D87" s="12">
        <v>21</v>
      </c>
      <c r="E87" s="14">
        <v>0</v>
      </c>
      <c r="F87" s="79"/>
      <c r="G87" s="13">
        <v>0</v>
      </c>
      <c r="H87" s="13"/>
      <c r="I87" s="15">
        <f t="shared" si="8"/>
        <v>0</v>
      </c>
      <c r="J87" s="15">
        <f t="shared" si="9"/>
        <v>0</v>
      </c>
      <c r="K87" s="15">
        <f t="shared" si="10"/>
        <v>21</v>
      </c>
      <c r="L87" s="218"/>
      <c r="M87" s="145"/>
      <c r="N87" s="145"/>
      <c r="O87" s="145"/>
    </row>
    <row r="88" spans="1:15" s="152" customFormat="1" ht="22.9" customHeight="1" x14ac:dyDescent="0.25">
      <c r="A88" s="10">
        <v>23</v>
      </c>
      <c r="B88" s="153" t="s">
        <v>92</v>
      </c>
      <c r="C88" s="12" t="s">
        <v>81</v>
      </c>
      <c r="D88" s="12">
        <v>2</v>
      </c>
      <c r="E88" s="14">
        <v>0</v>
      </c>
      <c r="F88" s="79"/>
      <c r="G88" s="13">
        <v>0</v>
      </c>
      <c r="H88" s="13"/>
      <c r="I88" s="15">
        <f t="shared" si="8"/>
        <v>0</v>
      </c>
      <c r="J88" s="15">
        <f t="shared" si="9"/>
        <v>0</v>
      </c>
      <c r="K88" s="15">
        <f t="shared" si="10"/>
        <v>2</v>
      </c>
      <c r="L88" s="218"/>
      <c r="M88" s="145"/>
      <c r="N88" s="145"/>
      <c r="O88" s="145"/>
    </row>
    <row r="89" spans="1:15" s="152" customFormat="1" ht="22.9" customHeight="1" x14ac:dyDescent="0.25">
      <c r="A89" s="10">
        <v>24</v>
      </c>
      <c r="B89" s="153" t="s">
        <v>93</v>
      </c>
      <c r="C89" s="12" t="s">
        <v>21</v>
      </c>
      <c r="D89" s="12">
        <v>670</v>
      </c>
      <c r="E89" s="14">
        <v>0</v>
      </c>
      <c r="F89" s="79"/>
      <c r="G89" s="13">
        <v>0</v>
      </c>
      <c r="H89" s="13"/>
      <c r="I89" s="15">
        <f t="shared" si="8"/>
        <v>0</v>
      </c>
      <c r="J89" s="15">
        <f t="shared" si="9"/>
        <v>0</v>
      </c>
      <c r="K89" s="15">
        <f t="shared" si="10"/>
        <v>670</v>
      </c>
      <c r="L89" s="218"/>
      <c r="M89" s="145"/>
      <c r="N89" s="145"/>
      <c r="O89" s="145"/>
    </row>
    <row r="90" spans="1:15" s="152" customFormat="1" ht="22.9" customHeight="1" x14ac:dyDescent="0.25">
      <c r="A90" s="10">
        <v>25</v>
      </c>
      <c r="B90" s="153" t="s">
        <v>94</v>
      </c>
      <c r="C90" s="12" t="s">
        <v>21</v>
      </c>
      <c r="D90" s="12">
        <v>1950</v>
      </c>
      <c r="E90" s="14">
        <v>0</v>
      </c>
      <c r="F90" s="79"/>
      <c r="G90" s="13">
        <v>0</v>
      </c>
      <c r="H90" s="13"/>
      <c r="I90" s="15">
        <f t="shared" si="8"/>
        <v>0</v>
      </c>
      <c r="J90" s="15">
        <f t="shared" si="9"/>
        <v>0</v>
      </c>
      <c r="K90" s="15">
        <f t="shared" si="10"/>
        <v>1950</v>
      </c>
      <c r="L90" s="218"/>
      <c r="M90" s="145"/>
      <c r="N90" s="145"/>
      <c r="O90" s="145"/>
    </row>
    <row r="91" spans="1:15" s="152" customFormat="1" ht="30" x14ac:dyDescent="0.25">
      <c r="A91" s="10">
        <v>26</v>
      </c>
      <c r="B91" s="153" t="s">
        <v>95</v>
      </c>
      <c r="C91" s="12" t="s">
        <v>96</v>
      </c>
      <c r="D91" s="12">
        <v>6</v>
      </c>
      <c r="E91" s="14">
        <v>0</v>
      </c>
      <c r="F91" s="79"/>
      <c r="G91" s="13">
        <v>0</v>
      </c>
      <c r="H91" s="13"/>
      <c r="I91" s="15">
        <f t="shared" si="8"/>
        <v>0</v>
      </c>
      <c r="J91" s="15">
        <f t="shared" si="9"/>
        <v>0</v>
      </c>
      <c r="K91" s="15">
        <f t="shared" si="10"/>
        <v>6</v>
      </c>
      <c r="L91" s="218"/>
      <c r="M91" s="145"/>
      <c r="N91" s="145"/>
      <c r="O91" s="145"/>
    </row>
    <row r="92" spans="1:15" s="152" customFormat="1" ht="30" x14ac:dyDescent="0.25">
      <c r="A92" s="10">
        <v>27</v>
      </c>
      <c r="B92" s="153" t="s">
        <v>97</v>
      </c>
      <c r="C92" s="12" t="s">
        <v>96</v>
      </c>
      <c r="D92" s="12">
        <v>4</v>
      </c>
      <c r="E92" s="14">
        <v>0</v>
      </c>
      <c r="F92" s="79"/>
      <c r="G92" s="13">
        <v>0</v>
      </c>
      <c r="H92" s="13"/>
      <c r="I92" s="15">
        <f t="shared" si="8"/>
        <v>0</v>
      </c>
      <c r="J92" s="15">
        <f t="shared" si="9"/>
        <v>0</v>
      </c>
      <c r="K92" s="15">
        <f t="shared" si="10"/>
        <v>4</v>
      </c>
      <c r="L92" s="218"/>
      <c r="M92" s="145"/>
      <c r="N92" s="145"/>
      <c r="O92" s="145"/>
    </row>
    <row r="93" spans="1:15" s="152" customFormat="1" ht="30" x14ac:dyDescent="0.25">
      <c r="A93" s="10">
        <v>28</v>
      </c>
      <c r="B93" s="153" t="s">
        <v>98</v>
      </c>
      <c r="C93" s="12" t="s">
        <v>96</v>
      </c>
      <c r="D93" s="12">
        <v>1</v>
      </c>
      <c r="E93" s="14">
        <v>0</v>
      </c>
      <c r="F93" s="79"/>
      <c r="G93" s="13">
        <v>0</v>
      </c>
      <c r="H93" s="13"/>
      <c r="I93" s="15">
        <f t="shared" si="8"/>
        <v>0</v>
      </c>
      <c r="J93" s="15">
        <f t="shared" si="9"/>
        <v>0</v>
      </c>
      <c r="K93" s="15">
        <f t="shared" si="10"/>
        <v>1</v>
      </c>
      <c r="L93" s="218"/>
      <c r="M93" s="145"/>
      <c r="N93" s="145"/>
      <c r="O93" s="145"/>
    </row>
    <row r="94" spans="1:15" s="152" customFormat="1" ht="24.6" customHeight="1" x14ac:dyDescent="0.25">
      <c r="A94" s="10">
        <v>29</v>
      </c>
      <c r="B94" s="153" t="s">
        <v>99</v>
      </c>
      <c r="C94" s="12" t="s">
        <v>74</v>
      </c>
      <c r="D94" s="12">
        <v>715</v>
      </c>
      <c r="E94" s="14">
        <v>0</v>
      </c>
      <c r="F94" s="79"/>
      <c r="G94" s="158">
        <v>0</v>
      </c>
      <c r="H94" s="13"/>
      <c r="I94" s="15">
        <f t="shared" si="8"/>
        <v>0</v>
      </c>
      <c r="J94" s="15">
        <f t="shared" si="9"/>
        <v>0</v>
      </c>
      <c r="K94" s="15">
        <f t="shared" si="10"/>
        <v>715</v>
      </c>
      <c r="L94" s="218"/>
      <c r="M94" s="145"/>
      <c r="N94" s="145"/>
      <c r="O94" s="145"/>
    </row>
    <row r="95" spans="1:15" s="152" customFormat="1" ht="24.6" customHeight="1" x14ac:dyDescent="0.25">
      <c r="A95" s="10">
        <v>30</v>
      </c>
      <c r="B95" s="153" t="s">
        <v>100</v>
      </c>
      <c r="C95" s="12" t="s">
        <v>21</v>
      </c>
      <c r="D95" s="12">
        <v>1590</v>
      </c>
      <c r="E95" s="14">
        <v>0</v>
      </c>
      <c r="F95" s="79"/>
      <c r="G95" s="158">
        <v>0</v>
      </c>
      <c r="H95" s="13"/>
      <c r="I95" s="15">
        <f t="shared" si="8"/>
        <v>0</v>
      </c>
      <c r="J95" s="15">
        <f t="shared" si="9"/>
        <v>0</v>
      </c>
      <c r="K95" s="15">
        <f t="shared" si="10"/>
        <v>1590</v>
      </c>
      <c r="L95" s="219"/>
      <c r="M95" s="145"/>
      <c r="N95" s="145"/>
      <c r="O95" s="145"/>
    </row>
    <row r="96" spans="1:15" s="152" customFormat="1" ht="15" x14ac:dyDescent="0.25">
      <c r="A96" s="12"/>
      <c r="B96" s="11"/>
      <c r="C96" s="12"/>
      <c r="D96" s="12"/>
      <c r="E96" s="14"/>
      <c r="F96" s="79"/>
      <c r="G96" s="158"/>
      <c r="H96" s="13"/>
      <c r="I96" s="14"/>
      <c r="J96" s="14"/>
      <c r="K96" s="14"/>
      <c r="L96" s="151"/>
      <c r="M96" s="145"/>
      <c r="N96" s="145"/>
      <c r="O96" s="145"/>
    </row>
    <row r="97" spans="1:17" s="130" customFormat="1" ht="15.75" x14ac:dyDescent="0.25">
      <c r="A97" s="5" t="s">
        <v>101</v>
      </c>
      <c r="B97" s="17" t="s">
        <v>102</v>
      </c>
      <c r="C97" s="8"/>
      <c r="D97" s="8"/>
      <c r="E97" s="8"/>
      <c r="F97" s="8"/>
      <c r="G97" s="135"/>
      <c r="H97" s="132"/>
      <c r="I97" s="8"/>
      <c r="J97" s="8"/>
      <c r="K97" s="8"/>
      <c r="L97" s="9"/>
      <c r="M97" s="145"/>
      <c r="N97" s="145"/>
      <c r="O97" s="145"/>
    </row>
    <row r="98" spans="1:17" s="152" customFormat="1" ht="30" customHeight="1" x14ac:dyDescent="0.25">
      <c r="A98" s="10">
        <v>1</v>
      </c>
      <c r="B98" s="153" t="s">
        <v>103</v>
      </c>
      <c r="C98" s="12" t="s">
        <v>25</v>
      </c>
      <c r="D98" s="14">
        <v>2</v>
      </c>
      <c r="E98" s="12">
        <v>0</v>
      </c>
      <c r="F98" s="79"/>
      <c r="G98" s="158">
        <v>0</v>
      </c>
      <c r="H98" s="13"/>
      <c r="I98" s="15">
        <f>G98+H98</f>
        <v>0</v>
      </c>
      <c r="J98" s="15">
        <f t="shared" ref="J98:J106" si="15">E98+I98</f>
        <v>0</v>
      </c>
      <c r="K98" s="15">
        <f t="shared" ref="K98:K106" si="16">D98-J98</f>
        <v>2</v>
      </c>
      <c r="L98" s="169"/>
      <c r="M98" s="145"/>
      <c r="N98" s="145"/>
      <c r="O98" s="145"/>
    </row>
    <row r="99" spans="1:17" s="152" customFormat="1" ht="30" customHeight="1" x14ac:dyDescent="0.25">
      <c r="A99" s="10" t="s">
        <v>361</v>
      </c>
      <c r="B99" s="166" t="s">
        <v>359</v>
      </c>
      <c r="C99" s="12" t="s">
        <v>25</v>
      </c>
      <c r="D99" s="14">
        <v>16</v>
      </c>
      <c r="E99" s="12">
        <v>15</v>
      </c>
      <c r="F99" s="79">
        <v>1</v>
      </c>
      <c r="G99" s="168">
        <v>0</v>
      </c>
      <c r="H99" s="13"/>
      <c r="I99" s="15">
        <f>G99+H99</f>
        <v>0</v>
      </c>
      <c r="J99" s="15">
        <f t="shared" si="15"/>
        <v>15</v>
      </c>
      <c r="K99" s="15">
        <f t="shared" si="16"/>
        <v>1</v>
      </c>
      <c r="L99" s="169"/>
      <c r="M99" s="145"/>
      <c r="N99" s="145"/>
      <c r="O99" s="145"/>
    </row>
    <row r="100" spans="1:17" s="152" customFormat="1" ht="30" customHeight="1" x14ac:dyDescent="0.25">
      <c r="A100" s="10" t="s">
        <v>362</v>
      </c>
      <c r="B100" s="153" t="s">
        <v>360</v>
      </c>
      <c r="C100" s="12" t="s">
        <v>25</v>
      </c>
      <c r="D100" s="14">
        <v>16</v>
      </c>
      <c r="E100" s="12">
        <v>2</v>
      </c>
      <c r="F100" s="79"/>
      <c r="G100" s="168">
        <v>4</v>
      </c>
      <c r="H100" s="13"/>
      <c r="I100" s="15">
        <v>4</v>
      </c>
      <c r="J100" s="15">
        <f>I100+E100</f>
        <v>6</v>
      </c>
      <c r="K100" s="15">
        <f>D100-J100</f>
        <v>10</v>
      </c>
      <c r="L100" s="170" t="s">
        <v>374</v>
      </c>
      <c r="M100" s="145"/>
      <c r="N100" s="145"/>
      <c r="O100" s="201" t="s">
        <v>498</v>
      </c>
      <c r="P100" s="152">
        <v>3</v>
      </c>
      <c r="Q100" s="152">
        <v>1</v>
      </c>
    </row>
    <row r="101" spans="1:17" s="152" customFormat="1" ht="30" customHeight="1" x14ac:dyDescent="0.25">
      <c r="A101" s="10">
        <v>3</v>
      </c>
      <c r="B101" s="153" t="s">
        <v>104</v>
      </c>
      <c r="C101" s="12" t="s">
        <v>25</v>
      </c>
      <c r="D101" s="14">
        <v>2</v>
      </c>
      <c r="E101" s="14">
        <v>0</v>
      </c>
      <c r="F101" s="79"/>
      <c r="G101" s="158">
        <v>0</v>
      </c>
      <c r="H101" s="13"/>
      <c r="I101" s="15">
        <f t="shared" ref="I101:I106" si="17">G101+H101</f>
        <v>0</v>
      </c>
      <c r="J101" s="15">
        <f t="shared" si="15"/>
        <v>0</v>
      </c>
      <c r="K101" s="15">
        <f t="shared" si="16"/>
        <v>2</v>
      </c>
      <c r="L101" s="169"/>
      <c r="M101" s="145"/>
      <c r="N101" s="145"/>
      <c r="O101" s="145"/>
    </row>
    <row r="102" spans="1:17" s="152" customFormat="1" ht="30" customHeight="1" x14ac:dyDescent="0.25">
      <c r="A102" s="10">
        <v>4</v>
      </c>
      <c r="B102" s="153" t="s">
        <v>105</v>
      </c>
      <c r="C102" s="12" t="s">
        <v>106</v>
      </c>
      <c r="D102" s="14">
        <v>3</v>
      </c>
      <c r="E102" s="14">
        <v>0</v>
      </c>
      <c r="F102" s="79"/>
      <c r="G102" s="158">
        <v>0</v>
      </c>
      <c r="H102" s="13"/>
      <c r="I102" s="15">
        <f t="shared" si="17"/>
        <v>0</v>
      </c>
      <c r="J102" s="15">
        <f t="shared" si="15"/>
        <v>0</v>
      </c>
      <c r="K102" s="15">
        <f t="shared" si="16"/>
        <v>3</v>
      </c>
      <c r="L102" s="169"/>
      <c r="M102" s="145"/>
      <c r="N102" s="145"/>
      <c r="O102" s="145"/>
    </row>
    <row r="103" spans="1:17" s="152" customFormat="1" ht="30" customHeight="1" x14ac:dyDescent="0.25">
      <c r="A103" s="10">
        <v>5</v>
      </c>
      <c r="B103" s="153" t="s">
        <v>107</v>
      </c>
      <c r="C103" s="12" t="s">
        <v>25</v>
      </c>
      <c r="D103" s="14">
        <v>3</v>
      </c>
      <c r="E103" s="14">
        <v>3</v>
      </c>
      <c r="F103" s="79"/>
      <c r="G103" s="158">
        <v>0</v>
      </c>
      <c r="H103" s="13"/>
      <c r="I103" s="15">
        <f t="shared" si="17"/>
        <v>0</v>
      </c>
      <c r="J103" s="15">
        <v>3</v>
      </c>
      <c r="K103" s="15">
        <f t="shared" si="16"/>
        <v>0</v>
      </c>
      <c r="L103" s="169"/>
      <c r="M103" s="145"/>
      <c r="N103" s="145"/>
      <c r="O103" s="201" t="s">
        <v>498</v>
      </c>
    </row>
    <row r="104" spans="1:17" s="152" customFormat="1" ht="30" customHeight="1" x14ac:dyDescent="0.25">
      <c r="A104" s="10">
        <v>6</v>
      </c>
      <c r="B104" s="153" t="s">
        <v>108</v>
      </c>
      <c r="C104" s="12" t="s">
        <v>25</v>
      </c>
      <c r="D104" s="14">
        <v>9</v>
      </c>
      <c r="E104" s="14">
        <v>0</v>
      </c>
      <c r="F104" s="79"/>
      <c r="G104" s="158">
        <v>0</v>
      </c>
      <c r="H104" s="13"/>
      <c r="I104" s="15">
        <f t="shared" si="17"/>
        <v>0</v>
      </c>
      <c r="J104" s="15">
        <f t="shared" si="15"/>
        <v>0</v>
      </c>
      <c r="K104" s="15">
        <f t="shared" si="16"/>
        <v>9</v>
      </c>
      <c r="L104" s="169"/>
      <c r="M104" s="145"/>
      <c r="N104" s="145"/>
      <c r="O104" s="145"/>
    </row>
    <row r="105" spans="1:17" s="152" customFormat="1" ht="30" customHeight="1" x14ac:dyDescent="0.25">
      <c r="A105" s="10">
        <v>7</v>
      </c>
      <c r="B105" s="153" t="s">
        <v>109</v>
      </c>
      <c r="C105" s="12" t="s">
        <v>25</v>
      </c>
      <c r="D105" s="14">
        <v>2</v>
      </c>
      <c r="E105" s="14">
        <v>0</v>
      </c>
      <c r="F105" s="79"/>
      <c r="G105" s="159">
        <v>0</v>
      </c>
      <c r="H105" s="13"/>
      <c r="I105" s="15">
        <f t="shared" si="17"/>
        <v>0</v>
      </c>
      <c r="J105" s="15">
        <f t="shared" si="15"/>
        <v>0</v>
      </c>
      <c r="K105" s="15">
        <f t="shared" si="16"/>
        <v>2</v>
      </c>
      <c r="L105" s="169"/>
      <c r="M105" s="145"/>
      <c r="N105" s="145"/>
      <c r="O105" s="145"/>
    </row>
    <row r="106" spans="1:17" s="152" customFormat="1" ht="30" customHeight="1" x14ac:dyDescent="0.25">
      <c r="A106" s="10">
        <v>8</v>
      </c>
      <c r="B106" s="153" t="s">
        <v>110</v>
      </c>
      <c r="C106" s="12" t="s">
        <v>25</v>
      </c>
      <c r="D106" s="14">
        <v>2</v>
      </c>
      <c r="E106" s="14">
        <v>0</v>
      </c>
      <c r="F106" s="79"/>
      <c r="G106" s="159">
        <v>0</v>
      </c>
      <c r="H106" s="13"/>
      <c r="I106" s="15">
        <f t="shared" si="17"/>
        <v>0</v>
      </c>
      <c r="J106" s="15">
        <f t="shared" si="15"/>
        <v>0</v>
      </c>
      <c r="K106" s="15">
        <f t="shared" si="16"/>
        <v>2</v>
      </c>
      <c r="L106" s="169"/>
      <c r="M106" s="145"/>
      <c r="N106" s="145"/>
      <c r="O106" s="145"/>
    </row>
    <row r="107" spans="1:17" s="152" customFormat="1" ht="15" x14ac:dyDescent="0.25">
      <c r="A107" s="10"/>
      <c r="B107" s="11"/>
      <c r="C107" s="12"/>
      <c r="D107" s="14"/>
      <c r="E107" s="14"/>
      <c r="F107" s="79"/>
      <c r="G107" s="159"/>
      <c r="H107" s="13"/>
      <c r="I107" s="14"/>
      <c r="J107" s="14"/>
      <c r="K107" s="14"/>
      <c r="L107" s="160"/>
      <c r="M107" s="145"/>
      <c r="N107" s="145"/>
      <c r="O107" s="145"/>
    </row>
    <row r="108" spans="1:17" s="137" customFormat="1" ht="17.45" customHeight="1" x14ac:dyDescent="0.25">
      <c r="A108" s="136"/>
      <c r="B108" s="18"/>
      <c r="C108" s="136"/>
      <c r="D108" s="136"/>
      <c r="F108" s="138"/>
      <c r="G108" s="139"/>
      <c r="H108" s="140"/>
      <c r="I108" s="138"/>
      <c r="J108" s="138"/>
      <c r="K108" s="138"/>
      <c r="N108" s="145"/>
    </row>
    <row r="109" spans="1:17" s="137" customFormat="1" ht="17.45" customHeight="1" x14ac:dyDescent="0.25">
      <c r="A109" s="18" t="s">
        <v>111</v>
      </c>
      <c r="B109" s="18"/>
      <c r="C109" s="136"/>
      <c r="D109" s="136"/>
      <c r="F109" s="138"/>
      <c r="G109" s="139"/>
      <c r="H109" s="140"/>
      <c r="I109" s="138"/>
      <c r="J109" s="138"/>
      <c r="K109" s="138"/>
      <c r="N109" s="145"/>
    </row>
    <row r="110" spans="1:17" s="137" customFormat="1" ht="17.45" customHeight="1" x14ac:dyDescent="0.25">
      <c r="A110" s="141"/>
      <c r="B110" s="18" t="s">
        <v>375</v>
      </c>
      <c r="C110" s="136"/>
      <c r="D110" s="136"/>
      <c r="F110" s="138"/>
      <c r="G110" s="139"/>
      <c r="H110" s="140"/>
      <c r="I110" s="138"/>
      <c r="J110" s="138"/>
      <c r="K110" s="138"/>
    </row>
    <row r="111" spans="1:17" s="4" customFormat="1" ht="17.45" customHeight="1" x14ac:dyDescent="0.25">
      <c r="A111" s="142"/>
      <c r="B111" s="143"/>
      <c r="C111" s="144"/>
      <c r="D111" s="144"/>
      <c r="F111" s="133"/>
      <c r="G111" s="139"/>
      <c r="H111" s="145"/>
      <c r="I111" s="133"/>
      <c r="J111" s="133"/>
      <c r="K111" s="133"/>
    </row>
    <row r="112" spans="1:17" s="4" customFormat="1" ht="17.45" customHeight="1" x14ac:dyDescent="0.25">
      <c r="A112" s="142"/>
      <c r="B112" s="143"/>
      <c r="C112" s="144"/>
      <c r="D112" s="144"/>
      <c r="F112" s="133"/>
      <c r="G112" s="139"/>
      <c r="H112" s="145"/>
      <c r="I112" s="133"/>
      <c r="J112" s="133"/>
      <c r="K112" s="133"/>
    </row>
    <row r="113" spans="1:12" s="4" customFormat="1" ht="17.45" customHeight="1" x14ac:dyDescent="0.25">
      <c r="A113" s="142"/>
      <c r="B113" s="143"/>
      <c r="C113" s="144"/>
      <c r="D113" s="144"/>
      <c r="F113" s="133"/>
      <c r="G113" s="139"/>
      <c r="H113" s="145"/>
      <c r="I113" s="133"/>
      <c r="J113" s="133"/>
      <c r="K113" s="133"/>
    </row>
    <row r="114" spans="1:12" s="4" customFormat="1" ht="17.45" customHeight="1" x14ac:dyDescent="0.25">
      <c r="A114" s="144"/>
      <c r="B114" s="143"/>
      <c r="C114" s="144"/>
      <c r="D114" s="144"/>
      <c r="F114" s="133"/>
      <c r="G114" s="139"/>
      <c r="H114" s="145"/>
      <c r="I114" s="133"/>
      <c r="J114" s="133"/>
      <c r="K114" s="133"/>
    </row>
    <row r="115" spans="1:12" s="4" customFormat="1" ht="17.45" customHeight="1" x14ac:dyDescent="0.25">
      <c r="A115" s="144"/>
      <c r="B115" s="143"/>
      <c r="C115" s="144"/>
      <c r="D115" s="144"/>
      <c r="F115" s="133"/>
      <c r="G115" s="139"/>
      <c r="H115" s="145"/>
      <c r="I115" s="133"/>
      <c r="J115" s="133"/>
      <c r="K115" s="133"/>
    </row>
    <row r="116" spans="1:12" s="144" customFormat="1" ht="17.45" customHeight="1" x14ac:dyDescent="0.25">
      <c r="B116" s="143"/>
      <c r="E116" s="4"/>
      <c r="F116" s="133"/>
      <c r="G116" s="139"/>
      <c r="H116" s="145"/>
      <c r="I116" s="133"/>
      <c r="J116" s="133"/>
      <c r="K116" s="133"/>
      <c r="L116" s="4"/>
    </row>
    <row r="117" spans="1:12" s="4" customFormat="1" ht="17.45" customHeight="1" x14ac:dyDescent="0.25">
      <c r="A117" s="144"/>
      <c r="B117" s="143"/>
      <c r="C117" s="144"/>
      <c r="D117" s="144"/>
      <c r="F117" s="133"/>
      <c r="G117" s="139"/>
      <c r="H117" s="145"/>
      <c r="I117" s="133"/>
      <c r="J117" s="133"/>
      <c r="K117" s="133"/>
    </row>
    <row r="119" spans="1:12" s="146" customFormat="1" ht="17.45" customHeight="1" x14ac:dyDescent="0.25">
      <c r="B119" s="147"/>
      <c r="E119" s="148"/>
      <c r="F119" s="149"/>
      <c r="G119" s="139"/>
      <c r="H119" s="139"/>
      <c r="I119" s="149"/>
      <c r="J119" s="149"/>
      <c r="K119" s="149"/>
      <c r="L119" s="148"/>
    </row>
  </sheetData>
  <mergeCells count="16">
    <mergeCell ref="L63:L95"/>
    <mergeCell ref="A1:L1"/>
    <mergeCell ref="A2:J2"/>
    <mergeCell ref="A3:J3"/>
    <mergeCell ref="A5:A6"/>
    <mergeCell ref="B5:B6"/>
    <mergeCell ref="C5:C6"/>
    <mergeCell ref="D5:D6"/>
    <mergeCell ref="E5:E6"/>
    <mergeCell ref="F5:F6"/>
    <mergeCell ref="G5:I5"/>
    <mergeCell ref="J5:J6"/>
    <mergeCell ref="K5:K6"/>
    <mergeCell ref="L5:L6"/>
    <mergeCell ref="L9:L17"/>
    <mergeCell ref="L20:L60"/>
  </mergeCells>
  <printOptions horizontalCentered="1"/>
  <pageMargins left="0.39370078740157483" right="0.23622047244094491" top="0.31496062992125984" bottom="0.19685039370078741" header="0.19685039370078741" footer="0.15748031496062992"/>
  <pageSetup paperSize="9" scale="48" fitToWidth="2" orientation="portrait" r:id="rId1"/>
  <headerFooter>
    <oddFooter xml:space="preserve">&amp;L09.01.04/SOP-01/F-01/R0&amp;CDPR-Format&amp;RPage &amp;P of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6" tint="0.39997558519241921"/>
    <pageSetUpPr fitToPage="1"/>
  </sheetPr>
  <dimension ref="A1:Q73"/>
  <sheetViews>
    <sheetView zoomScale="90" zoomScaleNormal="90" workbookViewId="0">
      <pane ySplit="7" topLeftCell="A23" activePane="bottomLeft" state="frozen"/>
      <selection pane="bottomLeft" activeCell="I3" sqref="I3"/>
    </sheetView>
  </sheetViews>
  <sheetFormatPr defaultRowHeight="15" x14ac:dyDescent="0.25"/>
  <cols>
    <col min="1" max="1" width="7.140625" style="21" customWidth="1"/>
    <col min="2" max="2" width="27" style="21" customWidth="1"/>
    <col min="3" max="3" width="18.28515625" style="21" customWidth="1"/>
    <col min="4" max="4" width="15.7109375" style="21" customWidth="1"/>
    <col min="5" max="7" width="17.42578125" style="21" customWidth="1"/>
    <col min="8" max="8" width="18.7109375" style="21" customWidth="1"/>
    <col min="9" max="9" width="9.140625" style="21"/>
    <col min="10" max="10" width="13.85546875" style="21" customWidth="1"/>
    <col min="11" max="246" width="9.140625" style="21"/>
    <col min="247" max="247" width="7.140625" style="21" customWidth="1"/>
    <col min="248" max="248" width="38.28515625" style="21" customWidth="1"/>
    <col min="249" max="249" width="21.85546875" style="21" customWidth="1"/>
    <col min="250" max="250" width="28.42578125" style="21" customWidth="1"/>
    <col min="251" max="259" width="0" style="21" hidden="1" customWidth="1"/>
    <col min="260" max="260" width="12.42578125" style="21" customWidth="1"/>
    <col min="261" max="265" width="9.140625" style="21"/>
    <col min="266" max="266" width="13.85546875" style="21" customWidth="1"/>
    <col min="267" max="502" width="9.140625" style="21"/>
    <col min="503" max="503" width="7.140625" style="21" customWidth="1"/>
    <col min="504" max="504" width="38.28515625" style="21" customWidth="1"/>
    <col min="505" max="505" width="21.85546875" style="21" customWidth="1"/>
    <col min="506" max="506" width="28.42578125" style="21" customWidth="1"/>
    <col min="507" max="515" width="0" style="21" hidden="1" customWidth="1"/>
    <col min="516" max="516" width="12.42578125" style="21" customWidth="1"/>
    <col min="517" max="521" width="9.140625" style="21"/>
    <col min="522" max="522" width="13.85546875" style="21" customWidth="1"/>
    <col min="523" max="758" width="9.140625" style="21"/>
    <col min="759" max="759" width="7.140625" style="21" customWidth="1"/>
    <col min="760" max="760" width="38.28515625" style="21" customWidth="1"/>
    <col min="761" max="761" width="21.85546875" style="21" customWidth="1"/>
    <col min="762" max="762" width="28.42578125" style="21" customWidth="1"/>
    <col min="763" max="771" width="0" style="21" hidden="1" customWidth="1"/>
    <col min="772" max="772" width="12.42578125" style="21" customWidth="1"/>
    <col min="773" max="777" width="9.140625" style="21"/>
    <col min="778" max="778" width="13.85546875" style="21" customWidth="1"/>
    <col min="779" max="1014" width="9.140625" style="21"/>
    <col min="1015" max="1015" width="7.140625" style="21" customWidth="1"/>
    <col min="1016" max="1016" width="38.28515625" style="21" customWidth="1"/>
    <col min="1017" max="1017" width="21.85546875" style="21" customWidth="1"/>
    <col min="1018" max="1018" width="28.42578125" style="21" customWidth="1"/>
    <col min="1019" max="1027" width="0" style="21" hidden="1" customWidth="1"/>
    <col min="1028" max="1028" width="12.42578125" style="21" customWidth="1"/>
    <col min="1029" max="1033" width="9.140625" style="21"/>
    <col min="1034" max="1034" width="13.85546875" style="21" customWidth="1"/>
    <col min="1035" max="1270" width="9.140625" style="21"/>
    <col min="1271" max="1271" width="7.140625" style="21" customWidth="1"/>
    <col min="1272" max="1272" width="38.28515625" style="21" customWidth="1"/>
    <col min="1273" max="1273" width="21.85546875" style="21" customWidth="1"/>
    <col min="1274" max="1274" width="28.42578125" style="21" customWidth="1"/>
    <col min="1275" max="1283" width="0" style="21" hidden="1" customWidth="1"/>
    <col min="1284" max="1284" width="12.42578125" style="21" customWidth="1"/>
    <col min="1285" max="1289" width="9.140625" style="21"/>
    <col min="1290" max="1290" width="13.85546875" style="21" customWidth="1"/>
    <col min="1291" max="1526" width="9.140625" style="21"/>
    <col min="1527" max="1527" width="7.140625" style="21" customWidth="1"/>
    <col min="1528" max="1528" width="38.28515625" style="21" customWidth="1"/>
    <col min="1529" max="1529" width="21.85546875" style="21" customWidth="1"/>
    <col min="1530" max="1530" width="28.42578125" style="21" customWidth="1"/>
    <col min="1531" max="1539" width="0" style="21" hidden="1" customWidth="1"/>
    <col min="1540" max="1540" width="12.42578125" style="21" customWidth="1"/>
    <col min="1541" max="1545" width="9.140625" style="21"/>
    <col min="1546" max="1546" width="13.85546875" style="21" customWidth="1"/>
    <col min="1547" max="1782" width="9.140625" style="21"/>
    <col min="1783" max="1783" width="7.140625" style="21" customWidth="1"/>
    <col min="1784" max="1784" width="38.28515625" style="21" customWidth="1"/>
    <col min="1785" max="1785" width="21.85546875" style="21" customWidth="1"/>
    <col min="1786" max="1786" width="28.42578125" style="21" customWidth="1"/>
    <col min="1787" max="1795" width="0" style="21" hidden="1" customWidth="1"/>
    <col min="1796" max="1796" width="12.42578125" style="21" customWidth="1"/>
    <col min="1797" max="1801" width="9.140625" style="21"/>
    <col min="1802" max="1802" width="13.85546875" style="21" customWidth="1"/>
    <col min="1803" max="2038" width="9.140625" style="21"/>
    <col min="2039" max="2039" width="7.140625" style="21" customWidth="1"/>
    <col min="2040" max="2040" width="38.28515625" style="21" customWidth="1"/>
    <col min="2041" max="2041" width="21.85546875" style="21" customWidth="1"/>
    <col min="2042" max="2042" width="28.42578125" style="21" customWidth="1"/>
    <col min="2043" max="2051" width="0" style="21" hidden="1" customWidth="1"/>
    <col min="2052" max="2052" width="12.42578125" style="21" customWidth="1"/>
    <col min="2053" max="2057" width="9.140625" style="21"/>
    <col min="2058" max="2058" width="13.85546875" style="21" customWidth="1"/>
    <col min="2059" max="2294" width="9.140625" style="21"/>
    <col min="2295" max="2295" width="7.140625" style="21" customWidth="1"/>
    <col min="2296" max="2296" width="38.28515625" style="21" customWidth="1"/>
    <col min="2297" max="2297" width="21.85546875" style="21" customWidth="1"/>
    <col min="2298" max="2298" width="28.42578125" style="21" customWidth="1"/>
    <col min="2299" max="2307" width="0" style="21" hidden="1" customWidth="1"/>
    <col min="2308" max="2308" width="12.42578125" style="21" customWidth="1"/>
    <col min="2309" max="2313" width="9.140625" style="21"/>
    <col min="2314" max="2314" width="13.85546875" style="21" customWidth="1"/>
    <col min="2315" max="2550" width="9.140625" style="21"/>
    <col min="2551" max="2551" width="7.140625" style="21" customWidth="1"/>
    <col min="2552" max="2552" width="38.28515625" style="21" customWidth="1"/>
    <col min="2553" max="2553" width="21.85546875" style="21" customWidth="1"/>
    <col min="2554" max="2554" width="28.42578125" style="21" customWidth="1"/>
    <col min="2555" max="2563" width="0" style="21" hidden="1" customWidth="1"/>
    <col min="2564" max="2564" width="12.42578125" style="21" customWidth="1"/>
    <col min="2565" max="2569" width="9.140625" style="21"/>
    <col min="2570" max="2570" width="13.85546875" style="21" customWidth="1"/>
    <col min="2571" max="2806" width="9.140625" style="21"/>
    <col min="2807" max="2807" width="7.140625" style="21" customWidth="1"/>
    <col min="2808" max="2808" width="38.28515625" style="21" customWidth="1"/>
    <col min="2809" max="2809" width="21.85546875" style="21" customWidth="1"/>
    <col min="2810" max="2810" width="28.42578125" style="21" customWidth="1"/>
    <col min="2811" max="2819" width="0" style="21" hidden="1" customWidth="1"/>
    <col min="2820" max="2820" width="12.42578125" style="21" customWidth="1"/>
    <col min="2821" max="2825" width="9.140625" style="21"/>
    <col min="2826" max="2826" width="13.85546875" style="21" customWidth="1"/>
    <col min="2827" max="3062" width="9.140625" style="21"/>
    <col min="3063" max="3063" width="7.140625" style="21" customWidth="1"/>
    <col min="3064" max="3064" width="38.28515625" style="21" customWidth="1"/>
    <col min="3065" max="3065" width="21.85546875" style="21" customWidth="1"/>
    <col min="3066" max="3066" width="28.42578125" style="21" customWidth="1"/>
    <col min="3067" max="3075" width="0" style="21" hidden="1" customWidth="1"/>
    <col min="3076" max="3076" width="12.42578125" style="21" customWidth="1"/>
    <col min="3077" max="3081" width="9.140625" style="21"/>
    <col min="3082" max="3082" width="13.85546875" style="21" customWidth="1"/>
    <col min="3083" max="3318" width="9.140625" style="21"/>
    <col min="3319" max="3319" width="7.140625" style="21" customWidth="1"/>
    <col min="3320" max="3320" width="38.28515625" style="21" customWidth="1"/>
    <col min="3321" max="3321" width="21.85546875" style="21" customWidth="1"/>
    <col min="3322" max="3322" width="28.42578125" style="21" customWidth="1"/>
    <col min="3323" max="3331" width="0" style="21" hidden="1" customWidth="1"/>
    <col min="3332" max="3332" width="12.42578125" style="21" customWidth="1"/>
    <col min="3333" max="3337" width="9.140625" style="21"/>
    <col min="3338" max="3338" width="13.85546875" style="21" customWidth="1"/>
    <col min="3339" max="3574" width="9.140625" style="21"/>
    <col min="3575" max="3575" width="7.140625" style="21" customWidth="1"/>
    <col min="3576" max="3576" width="38.28515625" style="21" customWidth="1"/>
    <col min="3577" max="3577" width="21.85546875" style="21" customWidth="1"/>
    <col min="3578" max="3578" width="28.42578125" style="21" customWidth="1"/>
    <col min="3579" max="3587" width="0" style="21" hidden="1" customWidth="1"/>
    <col min="3588" max="3588" width="12.42578125" style="21" customWidth="1"/>
    <col min="3589" max="3593" width="9.140625" style="21"/>
    <col min="3594" max="3594" width="13.85546875" style="21" customWidth="1"/>
    <col min="3595" max="3830" width="9.140625" style="21"/>
    <col min="3831" max="3831" width="7.140625" style="21" customWidth="1"/>
    <col min="3832" max="3832" width="38.28515625" style="21" customWidth="1"/>
    <col min="3833" max="3833" width="21.85546875" style="21" customWidth="1"/>
    <col min="3834" max="3834" width="28.42578125" style="21" customWidth="1"/>
    <col min="3835" max="3843" width="0" style="21" hidden="1" customWidth="1"/>
    <col min="3844" max="3844" width="12.42578125" style="21" customWidth="1"/>
    <col min="3845" max="3849" width="9.140625" style="21"/>
    <col min="3850" max="3850" width="13.85546875" style="21" customWidth="1"/>
    <col min="3851" max="4086" width="9.140625" style="21"/>
    <col min="4087" max="4087" width="7.140625" style="21" customWidth="1"/>
    <col min="4088" max="4088" width="38.28515625" style="21" customWidth="1"/>
    <col min="4089" max="4089" width="21.85546875" style="21" customWidth="1"/>
    <col min="4090" max="4090" width="28.42578125" style="21" customWidth="1"/>
    <col min="4091" max="4099" width="0" style="21" hidden="1" customWidth="1"/>
    <col min="4100" max="4100" width="12.42578125" style="21" customWidth="1"/>
    <col min="4101" max="4105" width="9.140625" style="21"/>
    <col min="4106" max="4106" width="13.85546875" style="21" customWidth="1"/>
    <col min="4107" max="4342" width="9.140625" style="21"/>
    <col min="4343" max="4343" width="7.140625" style="21" customWidth="1"/>
    <col min="4344" max="4344" width="38.28515625" style="21" customWidth="1"/>
    <col min="4345" max="4345" width="21.85546875" style="21" customWidth="1"/>
    <col min="4346" max="4346" width="28.42578125" style="21" customWidth="1"/>
    <col min="4347" max="4355" width="0" style="21" hidden="1" customWidth="1"/>
    <col min="4356" max="4356" width="12.42578125" style="21" customWidth="1"/>
    <col min="4357" max="4361" width="9.140625" style="21"/>
    <col min="4362" max="4362" width="13.85546875" style="21" customWidth="1"/>
    <col min="4363" max="4598" width="9.140625" style="21"/>
    <col min="4599" max="4599" width="7.140625" style="21" customWidth="1"/>
    <col min="4600" max="4600" width="38.28515625" style="21" customWidth="1"/>
    <col min="4601" max="4601" width="21.85546875" style="21" customWidth="1"/>
    <col min="4602" max="4602" width="28.42578125" style="21" customWidth="1"/>
    <col min="4603" max="4611" width="0" style="21" hidden="1" customWidth="1"/>
    <col min="4612" max="4612" width="12.42578125" style="21" customWidth="1"/>
    <col min="4613" max="4617" width="9.140625" style="21"/>
    <col min="4618" max="4618" width="13.85546875" style="21" customWidth="1"/>
    <col min="4619" max="4854" width="9.140625" style="21"/>
    <col min="4855" max="4855" width="7.140625" style="21" customWidth="1"/>
    <col min="4856" max="4856" width="38.28515625" style="21" customWidth="1"/>
    <col min="4857" max="4857" width="21.85546875" style="21" customWidth="1"/>
    <col min="4858" max="4858" width="28.42578125" style="21" customWidth="1"/>
    <col min="4859" max="4867" width="0" style="21" hidden="1" customWidth="1"/>
    <col min="4868" max="4868" width="12.42578125" style="21" customWidth="1"/>
    <col min="4869" max="4873" width="9.140625" style="21"/>
    <col min="4874" max="4874" width="13.85546875" style="21" customWidth="1"/>
    <col min="4875" max="5110" width="9.140625" style="21"/>
    <col min="5111" max="5111" width="7.140625" style="21" customWidth="1"/>
    <col min="5112" max="5112" width="38.28515625" style="21" customWidth="1"/>
    <col min="5113" max="5113" width="21.85546875" style="21" customWidth="1"/>
    <col min="5114" max="5114" width="28.42578125" style="21" customWidth="1"/>
    <col min="5115" max="5123" width="0" style="21" hidden="1" customWidth="1"/>
    <col min="5124" max="5124" width="12.42578125" style="21" customWidth="1"/>
    <col min="5125" max="5129" width="9.140625" style="21"/>
    <col min="5130" max="5130" width="13.85546875" style="21" customWidth="1"/>
    <col min="5131" max="5366" width="9.140625" style="21"/>
    <col min="5367" max="5367" width="7.140625" style="21" customWidth="1"/>
    <col min="5368" max="5368" width="38.28515625" style="21" customWidth="1"/>
    <col min="5369" max="5369" width="21.85546875" style="21" customWidth="1"/>
    <col min="5370" max="5370" width="28.42578125" style="21" customWidth="1"/>
    <col min="5371" max="5379" width="0" style="21" hidden="1" customWidth="1"/>
    <col min="5380" max="5380" width="12.42578125" style="21" customWidth="1"/>
    <col min="5381" max="5385" width="9.140625" style="21"/>
    <col min="5386" max="5386" width="13.85546875" style="21" customWidth="1"/>
    <col min="5387" max="5622" width="9.140625" style="21"/>
    <col min="5623" max="5623" width="7.140625" style="21" customWidth="1"/>
    <col min="5624" max="5624" width="38.28515625" style="21" customWidth="1"/>
    <col min="5625" max="5625" width="21.85546875" style="21" customWidth="1"/>
    <col min="5626" max="5626" width="28.42578125" style="21" customWidth="1"/>
    <col min="5627" max="5635" width="0" style="21" hidden="1" customWidth="1"/>
    <col min="5636" max="5636" width="12.42578125" style="21" customWidth="1"/>
    <col min="5637" max="5641" width="9.140625" style="21"/>
    <col min="5642" max="5642" width="13.85546875" style="21" customWidth="1"/>
    <col min="5643" max="5878" width="9.140625" style="21"/>
    <col min="5879" max="5879" width="7.140625" style="21" customWidth="1"/>
    <col min="5880" max="5880" width="38.28515625" style="21" customWidth="1"/>
    <col min="5881" max="5881" width="21.85546875" style="21" customWidth="1"/>
    <col min="5882" max="5882" width="28.42578125" style="21" customWidth="1"/>
    <col min="5883" max="5891" width="0" style="21" hidden="1" customWidth="1"/>
    <col min="5892" max="5892" width="12.42578125" style="21" customWidth="1"/>
    <col min="5893" max="5897" width="9.140625" style="21"/>
    <col min="5898" max="5898" width="13.85546875" style="21" customWidth="1"/>
    <col min="5899" max="6134" width="9.140625" style="21"/>
    <col min="6135" max="6135" width="7.140625" style="21" customWidth="1"/>
    <col min="6136" max="6136" width="38.28515625" style="21" customWidth="1"/>
    <col min="6137" max="6137" width="21.85546875" style="21" customWidth="1"/>
    <col min="6138" max="6138" width="28.42578125" style="21" customWidth="1"/>
    <col min="6139" max="6147" width="0" style="21" hidden="1" customWidth="1"/>
    <col min="6148" max="6148" width="12.42578125" style="21" customWidth="1"/>
    <col min="6149" max="6153" width="9.140625" style="21"/>
    <col min="6154" max="6154" width="13.85546875" style="21" customWidth="1"/>
    <col min="6155" max="6390" width="9.140625" style="21"/>
    <col min="6391" max="6391" width="7.140625" style="21" customWidth="1"/>
    <col min="6392" max="6392" width="38.28515625" style="21" customWidth="1"/>
    <col min="6393" max="6393" width="21.85546875" style="21" customWidth="1"/>
    <col min="6394" max="6394" width="28.42578125" style="21" customWidth="1"/>
    <col min="6395" max="6403" width="0" style="21" hidden="1" customWidth="1"/>
    <col min="6404" max="6404" width="12.42578125" style="21" customWidth="1"/>
    <col min="6405" max="6409" width="9.140625" style="21"/>
    <col min="6410" max="6410" width="13.85546875" style="21" customWidth="1"/>
    <col min="6411" max="6646" width="9.140625" style="21"/>
    <col min="6647" max="6647" width="7.140625" style="21" customWidth="1"/>
    <col min="6648" max="6648" width="38.28515625" style="21" customWidth="1"/>
    <col min="6649" max="6649" width="21.85546875" style="21" customWidth="1"/>
    <col min="6650" max="6650" width="28.42578125" style="21" customWidth="1"/>
    <col min="6651" max="6659" width="0" style="21" hidden="1" customWidth="1"/>
    <col min="6660" max="6660" width="12.42578125" style="21" customWidth="1"/>
    <col min="6661" max="6665" width="9.140625" style="21"/>
    <col min="6666" max="6666" width="13.85546875" style="21" customWidth="1"/>
    <col min="6667" max="6902" width="9.140625" style="21"/>
    <col min="6903" max="6903" width="7.140625" style="21" customWidth="1"/>
    <col min="6904" max="6904" width="38.28515625" style="21" customWidth="1"/>
    <col min="6905" max="6905" width="21.85546875" style="21" customWidth="1"/>
    <col min="6906" max="6906" width="28.42578125" style="21" customWidth="1"/>
    <col min="6907" max="6915" width="0" style="21" hidden="1" customWidth="1"/>
    <col min="6916" max="6916" width="12.42578125" style="21" customWidth="1"/>
    <col min="6917" max="6921" width="9.140625" style="21"/>
    <col min="6922" max="6922" width="13.85546875" style="21" customWidth="1"/>
    <col min="6923" max="7158" width="9.140625" style="21"/>
    <col min="7159" max="7159" width="7.140625" style="21" customWidth="1"/>
    <col min="7160" max="7160" width="38.28515625" style="21" customWidth="1"/>
    <col min="7161" max="7161" width="21.85546875" style="21" customWidth="1"/>
    <col min="7162" max="7162" width="28.42578125" style="21" customWidth="1"/>
    <col min="7163" max="7171" width="0" style="21" hidden="1" customWidth="1"/>
    <col min="7172" max="7172" width="12.42578125" style="21" customWidth="1"/>
    <col min="7173" max="7177" width="9.140625" style="21"/>
    <col min="7178" max="7178" width="13.85546875" style="21" customWidth="1"/>
    <col min="7179" max="7414" width="9.140625" style="21"/>
    <col min="7415" max="7415" width="7.140625" style="21" customWidth="1"/>
    <col min="7416" max="7416" width="38.28515625" style="21" customWidth="1"/>
    <col min="7417" max="7417" width="21.85546875" style="21" customWidth="1"/>
    <col min="7418" max="7418" width="28.42578125" style="21" customWidth="1"/>
    <col min="7419" max="7427" width="0" style="21" hidden="1" customWidth="1"/>
    <col min="7428" max="7428" width="12.42578125" style="21" customWidth="1"/>
    <col min="7429" max="7433" width="9.140625" style="21"/>
    <col min="7434" max="7434" width="13.85546875" style="21" customWidth="1"/>
    <col min="7435" max="7670" width="9.140625" style="21"/>
    <col min="7671" max="7671" width="7.140625" style="21" customWidth="1"/>
    <col min="7672" max="7672" width="38.28515625" style="21" customWidth="1"/>
    <col min="7673" max="7673" width="21.85546875" style="21" customWidth="1"/>
    <col min="7674" max="7674" width="28.42578125" style="21" customWidth="1"/>
    <col min="7675" max="7683" width="0" style="21" hidden="1" customWidth="1"/>
    <col min="7684" max="7684" width="12.42578125" style="21" customWidth="1"/>
    <col min="7685" max="7689" width="9.140625" style="21"/>
    <col min="7690" max="7690" width="13.85546875" style="21" customWidth="1"/>
    <col min="7691" max="7926" width="9.140625" style="21"/>
    <col min="7927" max="7927" width="7.140625" style="21" customWidth="1"/>
    <col min="7928" max="7928" width="38.28515625" style="21" customWidth="1"/>
    <col min="7929" max="7929" width="21.85546875" style="21" customWidth="1"/>
    <col min="7930" max="7930" width="28.42578125" style="21" customWidth="1"/>
    <col min="7931" max="7939" width="0" style="21" hidden="1" customWidth="1"/>
    <col min="7940" max="7940" width="12.42578125" style="21" customWidth="1"/>
    <col min="7941" max="7945" width="9.140625" style="21"/>
    <col min="7946" max="7946" width="13.85546875" style="21" customWidth="1"/>
    <col min="7947" max="8182" width="9.140625" style="21"/>
    <col min="8183" max="8183" width="7.140625" style="21" customWidth="1"/>
    <col min="8184" max="8184" width="38.28515625" style="21" customWidth="1"/>
    <col min="8185" max="8185" width="21.85546875" style="21" customWidth="1"/>
    <col min="8186" max="8186" width="28.42578125" style="21" customWidth="1"/>
    <col min="8187" max="8195" width="0" style="21" hidden="1" customWidth="1"/>
    <col min="8196" max="8196" width="12.42578125" style="21" customWidth="1"/>
    <col min="8197" max="8201" width="9.140625" style="21"/>
    <col min="8202" max="8202" width="13.85546875" style="21" customWidth="1"/>
    <col min="8203" max="8438" width="9.140625" style="21"/>
    <col min="8439" max="8439" width="7.140625" style="21" customWidth="1"/>
    <col min="8440" max="8440" width="38.28515625" style="21" customWidth="1"/>
    <col min="8441" max="8441" width="21.85546875" style="21" customWidth="1"/>
    <col min="8442" max="8442" width="28.42578125" style="21" customWidth="1"/>
    <col min="8443" max="8451" width="0" style="21" hidden="1" customWidth="1"/>
    <col min="8452" max="8452" width="12.42578125" style="21" customWidth="1"/>
    <col min="8453" max="8457" width="9.140625" style="21"/>
    <col min="8458" max="8458" width="13.85546875" style="21" customWidth="1"/>
    <col min="8459" max="8694" width="9.140625" style="21"/>
    <col min="8695" max="8695" width="7.140625" style="21" customWidth="1"/>
    <col min="8696" max="8696" width="38.28515625" style="21" customWidth="1"/>
    <col min="8697" max="8697" width="21.85546875" style="21" customWidth="1"/>
    <col min="8698" max="8698" width="28.42578125" style="21" customWidth="1"/>
    <col min="8699" max="8707" width="0" style="21" hidden="1" customWidth="1"/>
    <col min="8708" max="8708" width="12.42578125" style="21" customWidth="1"/>
    <col min="8709" max="8713" width="9.140625" style="21"/>
    <col min="8714" max="8714" width="13.85546875" style="21" customWidth="1"/>
    <col min="8715" max="8950" width="9.140625" style="21"/>
    <col min="8951" max="8951" width="7.140625" style="21" customWidth="1"/>
    <col min="8952" max="8952" width="38.28515625" style="21" customWidth="1"/>
    <col min="8953" max="8953" width="21.85546875" style="21" customWidth="1"/>
    <col min="8954" max="8954" width="28.42578125" style="21" customWidth="1"/>
    <col min="8955" max="8963" width="0" style="21" hidden="1" customWidth="1"/>
    <col min="8964" max="8964" width="12.42578125" style="21" customWidth="1"/>
    <col min="8965" max="8969" width="9.140625" style="21"/>
    <col min="8970" max="8970" width="13.85546875" style="21" customWidth="1"/>
    <col min="8971" max="9206" width="9.140625" style="21"/>
    <col min="9207" max="9207" width="7.140625" style="21" customWidth="1"/>
    <col min="9208" max="9208" width="38.28515625" style="21" customWidth="1"/>
    <col min="9209" max="9209" width="21.85546875" style="21" customWidth="1"/>
    <col min="9210" max="9210" width="28.42578125" style="21" customWidth="1"/>
    <col min="9211" max="9219" width="0" style="21" hidden="1" customWidth="1"/>
    <col min="9220" max="9220" width="12.42578125" style="21" customWidth="1"/>
    <col min="9221" max="9225" width="9.140625" style="21"/>
    <col min="9226" max="9226" width="13.85546875" style="21" customWidth="1"/>
    <col min="9227" max="9462" width="9.140625" style="21"/>
    <col min="9463" max="9463" width="7.140625" style="21" customWidth="1"/>
    <col min="9464" max="9464" width="38.28515625" style="21" customWidth="1"/>
    <col min="9465" max="9465" width="21.85546875" style="21" customWidth="1"/>
    <col min="9466" max="9466" width="28.42578125" style="21" customWidth="1"/>
    <col min="9467" max="9475" width="0" style="21" hidden="1" customWidth="1"/>
    <col min="9476" max="9476" width="12.42578125" style="21" customWidth="1"/>
    <col min="9477" max="9481" width="9.140625" style="21"/>
    <col min="9482" max="9482" width="13.85546875" style="21" customWidth="1"/>
    <col min="9483" max="9718" width="9.140625" style="21"/>
    <col min="9719" max="9719" width="7.140625" style="21" customWidth="1"/>
    <col min="9720" max="9720" width="38.28515625" style="21" customWidth="1"/>
    <col min="9721" max="9721" width="21.85546875" style="21" customWidth="1"/>
    <col min="9722" max="9722" width="28.42578125" style="21" customWidth="1"/>
    <col min="9723" max="9731" width="0" style="21" hidden="1" customWidth="1"/>
    <col min="9732" max="9732" width="12.42578125" style="21" customWidth="1"/>
    <col min="9733" max="9737" width="9.140625" style="21"/>
    <col min="9738" max="9738" width="13.85546875" style="21" customWidth="1"/>
    <col min="9739" max="9974" width="9.140625" style="21"/>
    <col min="9975" max="9975" width="7.140625" style="21" customWidth="1"/>
    <col min="9976" max="9976" width="38.28515625" style="21" customWidth="1"/>
    <col min="9977" max="9977" width="21.85546875" style="21" customWidth="1"/>
    <col min="9978" max="9978" width="28.42578125" style="21" customWidth="1"/>
    <col min="9979" max="9987" width="0" style="21" hidden="1" customWidth="1"/>
    <col min="9988" max="9988" width="12.42578125" style="21" customWidth="1"/>
    <col min="9989" max="9993" width="9.140625" style="21"/>
    <col min="9994" max="9994" width="13.85546875" style="21" customWidth="1"/>
    <col min="9995" max="10230" width="9.140625" style="21"/>
    <col min="10231" max="10231" width="7.140625" style="21" customWidth="1"/>
    <col min="10232" max="10232" width="38.28515625" style="21" customWidth="1"/>
    <col min="10233" max="10233" width="21.85546875" style="21" customWidth="1"/>
    <col min="10234" max="10234" width="28.42578125" style="21" customWidth="1"/>
    <col min="10235" max="10243" width="0" style="21" hidden="1" customWidth="1"/>
    <col min="10244" max="10244" width="12.42578125" style="21" customWidth="1"/>
    <col min="10245" max="10249" width="9.140625" style="21"/>
    <col min="10250" max="10250" width="13.85546875" style="21" customWidth="1"/>
    <col min="10251" max="10486" width="9.140625" style="21"/>
    <col min="10487" max="10487" width="7.140625" style="21" customWidth="1"/>
    <col min="10488" max="10488" width="38.28515625" style="21" customWidth="1"/>
    <col min="10489" max="10489" width="21.85546875" style="21" customWidth="1"/>
    <col min="10490" max="10490" width="28.42578125" style="21" customWidth="1"/>
    <col min="10491" max="10499" width="0" style="21" hidden="1" customWidth="1"/>
    <col min="10500" max="10500" width="12.42578125" style="21" customWidth="1"/>
    <col min="10501" max="10505" width="9.140625" style="21"/>
    <col min="10506" max="10506" width="13.85546875" style="21" customWidth="1"/>
    <col min="10507" max="10742" width="9.140625" style="21"/>
    <col min="10743" max="10743" width="7.140625" style="21" customWidth="1"/>
    <col min="10744" max="10744" width="38.28515625" style="21" customWidth="1"/>
    <col min="10745" max="10745" width="21.85546875" style="21" customWidth="1"/>
    <col min="10746" max="10746" width="28.42578125" style="21" customWidth="1"/>
    <col min="10747" max="10755" width="0" style="21" hidden="1" customWidth="1"/>
    <col min="10756" max="10756" width="12.42578125" style="21" customWidth="1"/>
    <col min="10757" max="10761" width="9.140625" style="21"/>
    <col min="10762" max="10762" width="13.85546875" style="21" customWidth="1"/>
    <col min="10763" max="10998" width="9.140625" style="21"/>
    <col min="10999" max="10999" width="7.140625" style="21" customWidth="1"/>
    <col min="11000" max="11000" width="38.28515625" style="21" customWidth="1"/>
    <col min="11001" max="11001" width="21.85546875" style="21" customWidth="1"/>
    <col min="11002" max="11002" width="28.42578125" style="21" customWidth="1"/>
    <col min="11003" max="11011" width="0" style="21" hidden="1" customWidth="1"/>
    <col min="11012" max="11012" width="12.42578125" style="21" customWidth="1"/>
    <col min="11013" max="11017" width="9.140625" style="21"/>
    <col min="11018" max="11018" width="13.85546875" style="21" customWidth="1"/>
    <col min="11019" max="11254" width="9.140625" style="21"/>
    <col min="11255" max="11255" width="7.140625" style="21" customWidth="1"/>
    <col min="11256" max="11256" width="38.28515625" style="21" customWidth="1"/>
    <col min="11257" max="11257" width="21.85546875" style="21" customWidth="1"/>
    <col min="11258" max="11258" width="28.42578125" style="21" customWidth="1"/>
    <col min="11259" max="11267" width="0" style="21" hidden="1" customWidth="1"/>
    <col min="11268" max="11268" width="12.42578125" style="21" customWidth="1"/>
    <col min="11269" max="11273" width="9.140625" style="21"/>
    <col min="11274" max="11274" width="13.85546875" style="21" customWidth="1"/>
    <col min="11275" max="11510" width="9.140625" style="21"/>
    <col min="11511" max="11511" width="7.140625" style="21" customWidth="1"/>
    <col min="11512" max="11512" width="38.28515625" style="21" customWidth="1"/>
    <col min="11513" max="11513" width="21.85546875" style="21" customWidth="1"/>
    <col min="11514" max="11514" width="28.42578125" style="21" customWidth="1"/>
    <col min="11515" max="11523" width="0" style="21" hidden="1" customWidth="1"/>
    <col min="11524" max="11524" width="12.42578125" style="21" customWidth="1"/>
    <col min="11525" max="11529" width="9.140625" style="21"/>
    <col min="11530" max="11530" width="13.85546875" style="21" customWidth="1"/>
    <col min="11531" max="11766" width="9.140625" style="21"/>
    <col min="11767" max="11767" width="7.140625" style="21" customWidth="1"/>
    <col min="11768" max="11768" width="38.28515625" style="21" customWidth="1"/>
    <col min="11769" max="11769" width="21.85546875" style="21" customWidth="1"/>
    <col min="11770" max="11770" width="28.42578125" style="21" customWidth="1"/>
    <col min="11771" max="11779" width="0" style="21" hidden="1" customWidth="1"/>
    <col min="11780" max="11780" width="12.42578125" style="21" customWidth="1"/>
    <col min="11781" max="11785" width="9.140625" style="21"/>
    <col min="11786" max="11786" width="13.85546875" style="21" customWidth="1"/>
    <col min="11787" max="12022" width="9.140625" style="21"/>
    <col min="12023" max="12023" width="7.140625" style="21" customWidth="1"/>
    <col min="12024" max="12024" width="38.28515625" style="21" customWidth="1"/>
    <col min="12025" max="12025" width="21.85546875" style="21" customWidth="1"/>
    <col min="12026" max="12026" width="28.42578125" style="21" customWidth="1"/>
    <col min="12027" max="12035" width="0" style="21" hidden="1" customWidth="1"/>
    <col min="12036" max="12036" width="12.42578125" style="21" customWidth="1"/>
    <col min="12037" max="12041" width="9.140625" style="21"/>
    <col min="12042" max="12042" width="13.85546875" style="21" customWidth="1"/>
    <col min="12043" max="12278" width="9.140625" style="21"/>
    <col min="12279" max="12279" width="7.140625" style="21" customWidth="1"/>
    <col min="12280" max="12280" width="38.28515625" style="21" customWidth="1"/>
    <col min="12281" max="12281" width="21.85546875" style="21" customWidth="1"/>
    <col min="12282" max="12282" width="28.42578125" style="21" customWidth="1"/>
    <col min="12283" max="12291" width="0" style="21" hidden="1" customWidth="1"/>
    <col min="12292" max="12292" width="12.42578125" style="21" customWidth="1"/>
    <col min="12293" max="12297" width="9.140625" style="21"/>
    <col min="12298" max="12298" width="13.85546875" style="21" customWidth="1"/>
    <col min="12299" max="12534" width="9.140625" style="21"/>
    <col min="12535" max="12535" width="7.140625" style="21" customWidth="1"/>
    <col min="12536" max="12536" width="38.28515625" style="21" customWidth="1"/>
    <col min="12537" max="12537" width="21.85546875" style="21" customWidth="1"/>
    <col min="12538" max="12538" width="28.42578125" style="21" customWidth="1"/>
    <col min="12539" max="12547" width="0" style="21" hidden="1" customWidth="1"/>
    <col min="12548" max="12548" width="12.42578125" style="21" customWidth="1"/>
    <col min="12549" max="12553" width="9.140625" style="21"/>
    <col min="12554" max="12554" width="13.85546875" style="21" customWidth="1"/>
    <col min="12555" max="12790" width="9.140625" style="21"/>
    <col min="12791" max="12791" width="7.140625" style="21" customWidth="1"/>
    <col min="12792" max="12792" width="38.28515625" style="21" customWidth="1"/>
    <col min="12793" max="12793" width="21.85546875" style="21" customWidth="1"/>
    <col min="12794" max="12794" width="28.42578125" style="21" customWidth="1"/>
    <col min="12795" max="12803" width="0" style="21" hidden="1" customWidth="1"/>
    <col min="12804" max="12804" width="12.42578125" style="21" customWidth="1"/>
    <col min="12805" max="12809" width="9.140625" style="21"/>
    <col min="12810" max="12810" width="13.85546875" style="21" customWidth="1"/>
    <col min="12811" max="13046" width="9.140625" style="21"/>
    <col min="13047" max="13047" width="7.140625" style="21" customWidth="1"/>
    <col min="13048" max="13048" width="38.28515625" style="21" customWidth="1"/>
    <col min="13049" max="13049" width="21.85546875" style="21" customWidth="1"/>
    <col min="13050" max="13050" width="28.42578125" style="21" customWidth="1"/>
    <col min="13051" max="13059" width="0" style="21" hidden="1" customWidth="1"/>
    <col min="13060" max="13060" width="12.42578125" style="21" customWidth="1"/>
    <col min="13061" max="13065" width="9.140625" style="21"/>
    <col min="13066" max="13066" width="13.85546875" style="21" customWidth="1"/>
    <col min="13067" max="13302" width="9.140625" style="21"/>
    <col min="13303" max="13303" width="7.140625" style="21" customWidth="1"/>
    <col min="13304" max="13304" width="38.28515625" style="21" customWidth="1"/>
    <col min="13305" max="13305" width="21.85546875" style="21" customWidth="1"/>
    <col min="13306" max="13306" width="28.42578125" style="21" customWidth="1"/>
    <col min="13307" max="13315" width="0" style="21" hidden="1" customWidth="1"/>
    <col min="13316" max="13316" width="12.42578125" style="21" customWidth="1"/>
    <col min="13317" max="13321" width="9.140625" style="21"/>
    <col min="13322" max="13322" width="13.85546875" style="21" customWidth="1"/>
    <col min="13323" max="13558" width="9.140625" style="21"/>
    <col min="13559" max="13559" width="7.140625" style="21" customWidth="1"/>
    <col min="13560" max="13560" width="38.28515625" style="21" customWidth="1"/>
    <col min="13561" max="13561" width="21.85546875" style="21" customWidth="1"/>
    <col min="13562" max="13562" width="28.42578125" style="21" customWidth="1"/>
    <col min="13563" max="13571" width="0" style="21" hidden="1" customWidth="1"/>
    <col min="13572" max="13572" width="12.42578125" style="21" customWidth="1"/>
    <col min="13573" max="13577" width="9.140625" style="21"/>
    <col min="13578" max="13578" width="13.85546875" style="21" customWidth="1"/>
    <col min="13579" max="13814" width="9.140625" style="21"/>
    <col min="13815" max="13815" width="7.140625" style="21" customWidth="1"/>
    <col min="13816" max="13816" width="38.28515625" style="21" customWidth="1"/>
    <col min="13817" max="13817" width="21.85546875" style="21" customWidth="1"/>
    <col min="13818" max="13818" width="28.42578125" style="21" customWidth="1"/>
    <col min="13819" max="13827" width="0" style="21" hidden="1" customWidth="1"/>
    <col min="13828" max="13828" width="12.42578125" style="21" customWidth="1"/>
    <col min="13829" max="13833" width="9.140625" style="21"/>
    <col min="13834" max="13834" width="13.85546875" style="21" customWidth="1"/>
    <col min="13835" max="14070" width="9.140625" style="21"/>
    <col min="14071" max="14071" width="7.140625" style="21" customWidth="1"/>
    <col min="14072" max="14072" width="38.28515625" style="21" customWidth="1"/>
    <col min="14073" max="14073" width="21.85546875" style="21" customWidth="1"/>
    <col min="14074" max="14074" width="28.42578125" style="21" customWidth="1"/>
    <col min="14075" max="14083" width="0" style="21" hidden="1" customWidth="1"/>
    <col min="14084" max="14084" width="12.42578125" style="21" customWidth="1"/>
    <col min="14085" max="14089" width="9.140625" style="21"/>
    <col min="14090" max="14090" width="13.85546875" style="21" customWidth="1"/>
    <col min="14091" max="14326" width="9.140625" style="21"/>
    <col min="14327" max="14327" width="7.140625" style="21" customWidth="1"/>
    <col min="14328" max="14328" width="38.28515625" style="21" customWidth="1"/>
    <col min="14329" max="14329" width="21.85546875" style="21" customWidth="1"/>
    <col min="14330" max="14330" width="28.42578125" style="21" customWidth="1"/>
    <col min="14331" max="14339" width="0" style="21" hidden="1" customWidth="1"/>
    <col min="14340" max="14340" width="12.42578125" style="21" customWidth="1"/>
    <col min="14341" max="14345" width="9.140625" style="21"/>
    <col min="14346" max="14346" width="13.85546875" style="21" customWidth="1"/>
    <col min="14347" max="14582" width="9.140625" style="21"/>
    <col min="14583" max="14583" width="7.140625" style="21" customWidth="1"/>
    <col min="14584" max="14584" width="38.28515625" style="21" customWidth="1"/>
    <col min="14585" max="14585" width="21.85546875" style="21" customWidth="1"/>
    <col min="14586" max="14586" width="28.42578125" style="21" customWidth="1"/>
    <col min="14587" max="14595" width="0" style="21" hidden="1" customWidth="1"/>
    <col min="14596" max="14596" width="12.42578125" style="21" customWidth="1"/>
    <col min="14597" max="14601" width="9.140625" style="21"/>
    <col min="14602" max="14602" width="13.85546875" style="21" customWidth="1"/>
    <col min="14603" max="14838" width="9.140625" style="21"/>
    <col min="14839" max="14839" width="7.140625" style="21" customWidth="1"/>
    <col min="14840" max="14840" width="38.28515625" style="21" customWidth="1"/>
    <col min="14841" max="14841" width="21.85546875" style="21" customWidth="1"/>
    <col min="14842" max="14842" width="28.42578125" style="21" customWidth="1"/>
    <col min="14843" max="14851" width="0" style="21" hidden="1" customWidth="1"/>
    <col min="14852" max="14852" width="12.42578125" style="21" customWidth="1"/>
    <col min="14853" max="14857" width="9.140625" style="21"/>
    <col min="14858" max="14858" width="13.85546875" style="21" customWidth="1"/>
    <col min="14859" max="15094" width="9.140625" style="21"/>
    <col min="15095" max="15095" width="7.140625" style="21" customWidth="1"/>
    <col min="15096" max="15096" width="38.28515625" style="21" customWidth="1"/>
    <col min="15097" max="15097" width="21.85546875" style="21" customWidth="1"/>
    <col min="15098" max="15098" width="28.42578125" style="21" customWidth="1"/>
    <col min="15099" max="15107" width="0" style="21" hidden="1" customWidth="1"/>
    <col min="15108" max="15108" width="12.42578125" style="21" customWidth="1"/>
    <col min="15109" max="15113" width="9.140625" style="21"/>
    <col min="15114" max="15114" width="13.85546875" style="21" customWidth="1"/>
    <col min="15115" max="15350" width="9.140625" style="21"/>
    <col min="15351" max="15351" width="7.140625" style="21" customWidth="1"/>
    <col min="15352" max="15352" width="38.28515625" style="21" customWidth="1"/>
    <col min="15353" max="15353" width="21.85546875" style="21" customWidth="1"/>
    <col min="15354" max="15354" width="28.42578125" style="21" customWidth="1"/>
    <col min="15355" max="15363" width="0" style="21" hidden="1" customWidth="1"/>
    <col min="15364" max="15364" width="12.42578125" style="21" customWidth="1"/>
    <col min="15365" max="15369" width="9.140625" style="21"/>
    <col min="15370" max="15370" width="13.85546875" style="21" customWidth="1"/>
    <col min="15371" max="15606" width="9.140625" style="21"/>
    <col min="15607" max="15607" width="7.140625" style="21" customWidth="1"/>
    <col min="15608" max="15608" width="38.28515625" style="21" customWidth="1"/>
    <col min="15609" max="15609" width="21.85546875" style="21" customWidth="1"/>
    <col min="15610" max="15610" width="28.42578125" style="21" customWidth="1"/>
    <col min="15611" max="15619" width="0" style="21" hidden="1" customWidth="1"/>
    <col min="15620" max="15620" width="12.42578125" style="21" customWidth="1"/>
    <col min="15621" max="15625" width="9.140625" style="21"/>
    <col min="15626" max="15626" width="13.85546875" style="21" customWidth="1"/>
    <col min="15627" max="15862" width="9.140625" style="21"/>
    <col min="15863" max="15863" width="7.140625" style="21" customWidth="1"/>
    <col min="15864" max="15864" width="38.28515625" style="21" customWidth="1"/>
    <col min="15865" max="15865" width="21.85546875" style="21" customWidth="1"/>
    <col min="15866" max="15866" width="28.42578125" style="21" customWidth="1"/>
    <col min="15867" max="15875" width="0" style="21" hidden="1" customWidth="1"/>
    <col min="15876" max="15876" width="12.42578125" style="21" customWidth="1"/>
    <col min="15877" max="15881" width="9.140625" style="21"/>
    <col min="15882" max="15882" width="13.85546875" style="21" customWidth="1"/>
    <col min="15883" max="16118" width="9.140625" style="21"/>
    <col min="16119" max="16119" width="7.140625" style="21" customWidth="1"/>
    <col min="16120" max="16120" width="38.28515625" style="21" customWidth="1"/>
    <col min="16121" max="16121" width="21.85546875" style="21" customWidth="1"/>
    <col min="16122" max="16122" width="28.42578125" style="21" customWidth="1"/>
    <col min="16123" max="16131" width="0" style="21" hidden="1" customWidth="1"/>
    <col min="16132" max="16132" width="12.42578125" style="21" customWidth="1"/>
    <col min="16133" max="16137" width="9.140625" style="21"/>
    <col min="16138" max="16138" width="13.85546875" style="21" customWidth="1"/>
    <col min="16139" max="16381" width="9.140625" style="21"/>
    <col min="16382" max="16382" width="9.140625" style="21" customWidth="1"/>
    <col min="16383" max="16384" width="9.140625" style="21"/>
  </cols>
  <sheetData>
    <row r="1" spans="1:13" ht="23.25" customHeight="1" x14ac:dyDescent="0.35">
      <c r="A1" s="234" t="s">
        <v>112</v>
      </c>
      <c r="B1" s="234"/>
      <c r="C1" s="234"/>
      <c r="D1" s="234"/>
      <c r="E1" s="234"/>
      <c r="F1" s="234"/>
      <c r="G1" s="234"/>
      <c r="H1" s="234"/>
      <c r="I1" s="19"/>
      <c r="J1" s="20"/>
      <c r="K1" s="20"/>
      <c r="L1" s="20"/>
    </row>
    <row r="2" spans="1:13" ht="23.25" customHeight="1" x14ac:dyDescent="0.3">
      <c r="A2" s="235" t="s">
        <v>113</v>
      </c>
      <c r="B2" s="235"/>
      <c r="C2" s="235"/>
      <c r="D2" s="235"/>
      <c r="E2" s="235"/>
      <c r="F2" s="235"/>
      <c r="G2" s="235"/>
      <c r="H2" s="235"/>
      <c r="I2" s="22"/>
      <c r="J2" s="22"/>
      <c r="K2" s="22"/>
      <c r="L2" s="22"/>
    </row>
    <row r="3" spans="1:13" ht="18.75" customHeight="1" x14ac:dyDescent="0.25">
      <c r="A3" s="244" t="s">
        <v>308</v>
      </c>
      <c r="B3" s="244"/>
      <c r="C3" s="244"/>
      <c r="D3" s="244"/>
      <c r="E3" s="1" t="s">
        <v>2</v>
      </c>
      <c r="F3" s="1"/>
      <c r="G3" s="1"/>
      <c r="H3" s="2">
        <v>44492</v>
      </c>
      <c r="J3" s="23"/>
      <c r="K3" s="23"/>
      <c r="L3" s="23"/>
    </row>
    <row r="4" spans="1:13" ht="15.75" x14ac:dyDescent="0.25">
      <c r="A4" s="244"/>
      <c r="B4" s="244"/>
      <c r="C4" s="244"/>
      <c r="D4" s="244"/>
      <c r="E4" s="1" t="s">
        <v>4</v>
      </c>
      <c r="F4" s="1"/>
      <c r="G4" s="1"/>
      <c r="H4" s="2">
        <v>44492</v>
      </c>
      <c r="J4" s="23"/>
      <c r="K4" s="23"/>
      <c r="L4" s="23"/>
    </row>
    <row r="5" spans="1:13" ht="16.5" thickBot="1" x14ac:dyDescent="0.3">
      <c r="A5" s="24"/>
      <c r="B5" s="24"/>
      <c r="C5" s="24"/>
      <c r="D5" s="24"/>
      <c r="E5" s="24"/>
      <c r="F5" s="199"/>
      <c r="G5" s="199"/>
      <c r="H5" s="25"/>
      <c r="J5" s="23"/>
      <c r="K5" s="23"/>
      <c r="L5" s="23"/>
    </row>
    <row r="6" spans="1:13" s="26" customFormat="1" ht="24" customHeight="1" x14ac:dyDescent="0.25">
      <c r="A6" s="236" t="s">
        <v>114</v>
      </c>
      <c r="B6" s="238" t="s">
        <v>115</v>
      </c>
      <c r="C6" s="240" t="s">
        <v>116</v>
      </c>
      <c r="D6" s="245" t="s">
        <v>117</v>
      </c>
      <c r="E6" s="246"/>
      <c r="F6" s="246"/>
      <c r="G6" s="247"/>
      <c r="H6" s="242" t="s">
        <v>118</v>
      </c>
    </row>
    <row r="7" spans="1:13" s="26" customFormat="1" ht="54.75" customHeight="1" thickBot="1" x14ac:dyDescent="0.3">
      <c r="A7" s="237"/>
      <c r="B7" s="239"/>
      <c r="C7" s="241"/>
      <c r="D7" s="198" t="s">
        <v>515</v>
      </c>
      <c r="E7" s="197" t="s">
        <v>516</v>
      </c>
      <c r="F7" s="206" t="s">
        <v>514</v>
      </c>
      <c r="G7" s="206" t="s">
        <v>517</v>
      </c>
      <c r="H7" s="243"/>
    </row>
    <row r="8" spans="1:13" s="30" customFormat="1" ht="21.75" customHeight="1" x14ac:dyDescent="0.25">
      <c r="A8" s="106" t="s">
        <v>119</v>
      </c>
      <c r="B8" s="107"/>
      <c r="C8" s="108"/>
      <c r="D8" s="108"/>
      <c r="E8" s="107"/>
      <c r="F8" s="107"/>
      <c r="G8" s="107"/>
      <c r="H8" s="109"/>
    </row>
    <row r="9" spans="1:13" s="36" customFormat="1" ht="18" customHeight="1" x14ac:dyDescent="0.25">
      <c r="A9" s="31">
        <v>1</v>
      </c>
      <c r="B9" s="32" t="s">
        <v>120</v>
      </c>
      <c r="C9" s="33">
        <v>1</v>
      </c>
      <c r="D9" s="34">
        <v>1</v>
      </c>
      <c r="E9" s="171"/>
      <c r="F9" s="171"/>
      <c r="G9" s="171"/>
      <c r="H9" s="35">
        <f>SUM(C9:G9)</f>
        <v>2</v>
      </c>
    </row>
    <row r="10" spans="1:13" s="36" customFormat="1" ht="18" customHeight="1" x14ac:dyDescent="0.25">
      <c r="A10" s="31">
        <v>2</v>
      </c>
      <c r="B10" s="32" t="s">
        <v>121</v>
      </c>
      <c r="C10" s="33">
        <v>1</v>
      </c>
      <c r="D10" s="34">
        <v>2</v>
      </c>
      <c r="E10" s="171">
        <v>1</v>
      </c>
      <c r="F10" s="171"/>
      <c r="G10" s="171"/>
      <c r="H10" s="35">
        <f t="shared" ref="H10:H31" si="0">SUM(C10:G10)</f>
        <v>4</v>
      </c>
    </row>
    <row r="11" spans="1:13" s="36" customFormat="1" ht="18" customHeight="1" x14ac:dyDescent="0.25">
      <c r="A11" s="31">
        <v>3</v>
      </c>
      <c r="B11" s="32" t="s">
        <v>307</v>
      </c>
      <c r="C11" s="33">
        <v>1</v>
      </c>
      <c r="D11" s="34">
        <v>1</v>
      </c>
      <c r="E11" s="171">
        <v>3</v>
      </c>
      <c r="F11" s="171"/>
      <c r="G11" s="171"/>
      <c r="H11" s="35">
        <f t="shared" si="0"/>
        <v>5</v>
      </c>
    </row>
    <row r="12" spans="1:13" s="36" customFormat="1" ht="18" customHeight="1" x14ac:dyDescent="0.25">
      <c r="A12" s="31">
        <v>4</v>
      </c>
      <c r="B12" s="32" t="s">
        <v>122</v>
      </c>
      <c r="C12" s="33"/>
      <c r="D12" s="34"/>
      <c r="E12" s="171"/>
      <c r="F12" s="171"/>
      <c r="G12" s="171"/>
      <c r="H12" s="35">
        <f t="shared" si="0"/>
        <v>0</v>
      </c>
    </row>
    <row r="13" spans="1:13" s="36" customFormat="1" ht="18" customHeight="1" x14ac:dyDescent="0.25">
      <c r="A13" s="31">
        <v>5</v>
      </c>
      <c r="B13" s="32" t="s">
        <v>123</v>
      </c>
      <c r="C13" s="33">
        <v>2</v>
      </c>
      <c r="D13" s="34">
        <v>3</v>
      </c>
      <c r="E13" s="171"/>
      <c r="F13" s="171"/>
      <c r="G13" s="171"/>
      <c r="H13" s="35">
        <f t="shared" si="0"/>
        <v>5</v>
      </c>
      <c r="M13" s="38"/>
    </row>
    <row r="14" spans="1:13" s="36" customFormat="1" ht="18" customHeight="1" x14ac:dyDescent="0.25">
      <c r="A14" s="31">
        <v>6</v>
      </c>
      <c r="B14" s="32" t="s">
        <v>124</v>
      </c>
      <c r="C14" s="33"/>
      <c r="D14" s="34">
        <v>8</v>
      </c>
      <c r="E14" s="171"/>
      <c r="F14" s="171"/>
      <c r="G14" s="171"/>
      <c r="H14" s="35">
        <f t="shared" si="0"/>
        <v>8</v>
      </c>
      <c r="M14" s="38"/>
    </row>
    <row r="15" spans="1:13" s="36" customFormat="1" ht="18" customHeight="1" x14ac:dyDescent="0.25">
      <c r="A15" s="31">
        <v>7</v>
      </c>
      <c r="B15" s="32" t="s">
        <v>125</v>
      </c>
      <c r="C15" s="33">
        <v>2</v>
      </c>
      <c r="D15" s="34"/>
      <c r="E15" s="171">
        <v>5</v>
      </c>
      <c r="F15" s="171"/>
      <c r="G15" s="171"/>
      <c r="H15" s="35">
        <f t="shared" si="0"/>
        <v>7</v>
      </c>
      <c r="M15" s="38"/>
    </row>
    <row r="16" spans="1:13" s="36" customFormat="1" ht="18" customHeight="1" x14ac:dyDescent="0.25">
      <c r="A16" s="31">
        <v>8</v>
      </c>
      <c r="B16" s="32" t="s">
        <v>126</v>
      </c>
      <c r="C16" s="33"/>
      <c r="D16" s="34"/>
      <c r="E16" s="171">
        <v>0</v>
      </c>
      <c r="F16" s="171"/>
      <c r="G16" s="171"/>
      <c r="H16" s="35">
        <f t="shared" si="0"/>
        <v>0</v>
      </c>
      <c r="M16" s="38"/>
    </row>
    <row r="17" spans="1:17" s="36" customFormat="1" ht="18" customHeight="1" x14ac:dyDescent="0.25">
      <c r="A17" s="31">
        <v>9</v>
      </c>
      <c r="B17" s="32" t="s">
        <v>127</v>
      </c>
      <c r="C17" s="33"/>
      <c r="D17" s="34"/>
      <c r="E17" s="171">
        <v>0</v>
      </c>
      <c r="F17" s="171"/>
      <c r="G17" s="171"/>
      <c r="H17" s="35">
        <f t="shared" si="0"/>
        <v>0</v>
      </c>
      <c r="M17" s="38"/>
    </row>
    <row r="18" spans="1:17" s="36" customFormat="1" ht="18" customHeight="1" x14ac:dyDescent="0.25">
      <c r="A18" s="31">
        <v>10</v>
      </c>
      <c r="B18" s="32" t="s">
        <v>128</v>
      </c>
      <c r="C18" s="33"/>
      <c r="D18" s="34"/>
      <c r="E18" s="171"/>
      <c r="F18" s="171"/>
      <c r="G18" s="171"/>
      <c r="H18" s="35">
        <f t="shared" si="0"/>
        <v>0</v>
      </c>
      <c r="M18" s="38"/>
    </row>
    <row r="19" spans="1:17" s="36" customFormat="1" ht="18" customHeight="1" x14ac:dyDescent="0.25">
      <c r="A19" s="31">
        <v>11</v>
      </c>
      <c r="B19" s="32" t="s">
        <v>129</v>
      </c>
      <c r="C19" s="33">
        <v>1</v>
      </c>
      <c r="D19" s="34">
        <v>1</v>
      </c>
      <c r="E19" s="171"/>
      <c r="F19" s="171"/>
      <c r="G19" s="171"/>
      <c r="H19" s="35">
        <f t="shared" si="0"/>
        <v>2</v>
      </c>
      <c r="M19" s="38"/>
    </row>
    <row r="20" spans="1:17" s="36" customFormat="1" ht="18" customHeight="1" x14ac:dyDescent="0.25">
      <c r="A20" s="31">
        <v>12</v>
      </c>
      <c r="B20" s="32" t="s">
        <v>130</v>
      </c>
      <c r="C20" s="33">
        <v>1</v>
      </c>
      <c r="D20" s="34"/>
      <c r="E20" s="171">
        <v>0</v>
      </c>
      <c r="F20" s="171"/>
      <c r="G20" s="171"/>
      <c r="H20" s="35">
        <f t="shared" si="0"/>
        <v>1</v>
      </c>
      <c r="M20" s="38"/>
    </row>
    <row r="21" spans="1:17" s="36" customFormat="1" ht="18" customHeight="1" x14ac:dyDescent="0.25">
      <c r="A21" s="31">
        <v>13</v>
      </c>
      <c r="B21" s="32" t="s">
        <v>131</v>
      </c>
      <c r="C21" s="37">
        <v>1</v>
      </c>
      <c r="D21" s="34"/>
      <c r="E21" s="171"/>
      <c r="F21" s="171"/>
      <c r="G21" s="171"/>
      <c r="H21" s="35">
        <f t="shared" si="0"/>
        <v>1</v>
      </c>
      <c r="M21" s="38"/>
    </row>
    <row r="22" spans="1:17" s="36" customFormat="1" ht="18" customHeight="1" x14ac:dyDescent="0.25">
      <c r="A22" s="31">
        <v>14</v>
      </c>
      <c r="B22" s="32" t="s">
        <v>132</v>
      </c>
      <c r="C22" s="33">
        <v>1</v>
      </c>
      <c r="D22" s="34"/>
      <c r="E22" s="171">
        <v>1</v>
      </c>
      <c r="F22" s="171"/>
      <c r="G22" s="171"/>
      <c r="H22" s="35">
        <f t="shared" si="0"/>
        <v>2</v>
      </c>
      <c r="M22" s="38"/>
    </row>
    <row r="23" spans="1:17" s="36" customFormat="1" ht="18" customHeight="1" x14ac:dyDescent="0.25">
      <c r="A23" s="31">
        <v>15</v>
      </c>
      <c r="B23" s="32" t="s">
        <v>133</v>
      </c>
      <c r="C23" s="33">
        <v>1</v>
      </c>
      <c r="D23" s="34"/>
      <c r="E23" s="171">
        <v>1</v>
      </c>
      <c r="F23" s="171"/>
      <c r="G23" s="171"/>
      <c r="H23" s="35">
        <f t="shared" si="0"/>
        <v>2</v>
      </c>
      <c r="M23" s="38"/>
    </row>
    <row r="24" spans="1:17" s="36" customFormat="1" ht="18" customHeight="1" x14ac:dyDescent="0.25">
      <c r="A24" s="31">
        <v>16</v>
      </c>
      <c r="B24" s="32" t="s">
        <v>134</v>
      </c>
      <c r="C24" s="37"/>
      <c r="D24" s="34">
        <v>1</v>
      </c>
      <c r="E24" s="171">
        <v>1</v>
      </c>
      <c r="F24" s="171"/>
      <c r="G24" s="171"/>
      <c r="H24" s="35">
        <f t="shared" si="0"/>
        <v>2</v>
      </c>
      <c r="M24" s="38"/>
    </row>
    <row r="25" spans="1:17" s="36" customFormat="1" ht="18" customHeight="1" x14ac:dyDescent="0.25">
      <c r="A25" s="31">
        <v>17</v>
      </c>
      <c r="B25" s="32" t="s">
        <v>135</v>
      </c>
      <c r="C25" s="37">
        <v>1</v>
      </c>
      <c r="D25" s="34"/>
      <c r="E25" s="171"/>
      <c r="F25" s="171"/>
      <c r="G25" s="171"/>
      <c r="H25" s="35">
        <f t="shared" si="0"/>
        <v>1</v>
      </c>
      <c r="J25" s="38"/>
      <c r="M25" s="38"/>
    </row>
    <row r="26" spans="1:17" s="36" customFormat="1" ht="18" customHeight="1" x14ac:dyDescent="0.25">
      <c r="A26" s="31">
        <v>18</v>
      </c>
      <c r="B26" s="32" t="s">
        <v>136</v>
      </c>
      <c r="C26" s="37">
        <v>1</v>
      </c>
      <c r="D26" s="34">
        <v>1</v>
      </c>
      <c r="E26" s="171">
        <v>1</v>
      </c>
      <c r="F26" s="171"/>
      <c r="G26" s="171"/>
      <c r="H26" s="35">
        <f t="shared" si="0"/>
        <v>3</v>
      </c>
      <c r="J26" s="38"/>
      <c r="M26" s="38"/>
    </row>
    <row r="27" spans="1:17" s="36" customFormat="1" ht="18" customHeight="1" x14ac:dyDescent="0.25">
      <c r="A27" s="31">
        <v>19</v>
      </c>
      <c r="B27" s="32" t="s">
        <v>137</v>
      </c>
      <c r="C27" s="37"/>
      <c r="D27" s="34"/>
      <c r="E27" s="171"/>
      <c r="F27" s="171"/>
      <c r="G27" s="171"/>
      <c r="H27" s="35">
        <f t="shared" si="0"/>
        <v>0</v>
      </c>
      <c r="J27" s="38"/>
      <c r="M27" s="38"/>
    </row>
    <row r="28" spans="1:17" s="36" customFormat="1" ht="18" customHeight="1" x14ac:dyDescent="0.25">
      <c r="A28" s="31">
        <v>20</v>
      </c>
      <c r="B28" s="32" t="s">
        <v>138</v>
      </c>
      <c r="C28" s="37">
        <v>2</v>
      </c>
      <c r="D28" s="34">
        <v>1</v>
      </c>
      <c r="E28" s="171">
        <v>1</v>
      </c>
      <c r="F28" s="171"/>
      <c r="G28" s="171"/>
      <c r="H28" s="35">
        <f t="shared" si="0"/>
        <v>4</v>
      </c>
      <c r="J28" s="38"/>
      <c r="M28" s="38"/>
    </row>
    <row r="29" spans="1:17" s="36" customFormat="1" ht="18" customHeight="1" x14ac:dyDescent="0.25">
      <c r="A29" s="31">
        <v>21</v>
      </c>
      <c r="B29" s="32" t="s">
        <v>139</v>
      </c>
      <c r="C29" s="37"/>
      <c r="D29" s="34">
        <v>8</v>
      </c>
      <c r="E29" s="171"/>
      <c r="F29" s="171"/>
      <c r="G29" s="171"/>
      <c r="H29" s="35">
        <f t="shared" si="0"/>
        <v>8</v>
      </c>
      <c r="J29" s="38"/>
      <c r="M29" s="38"/>
    </row>
    <row r="30" spans="1:17" s="36" customFormat="1" ht="18" customHeight="1" x14ac:dyDescent="0.25">
      <c r="A30" s="31">
        <v>22</v>
      </c>
      <c r="B30" s="32" t="s">
        <v>140</v>
      </c>
      <c r="C30" s="37">
        <v>1</v>
      </c>
      <c r="D30" s="34">
        <v>0</v>
      </c>
      <c r="E30" s="171"/>
      <c r="F30" s="171"/>
      <c r="G30" s="171"/>
      <c r="H30" s="35">
        <f t="shared" si="0"/>
        <v>1</v>
      </c>
      <c r="J30" s="38"/>
      <c r="M30" s="38"/>
      <c r="N30" s="38"/>
    </row>
    <row r="31" spans="1:17" s="36" customFormat="1" ht="18" customHeight="1" x14ac:dyDescent="0.25">
      <c r="A31" s="31">
        <v>23</v>
      </c>
      <c r="B31" s="32" t="s">
        <v>141</v>
      </c>
      <c r="C31" s="37"/>
      <c r="D31" s="34"/>
      <c r="E31" s="171"/>
      <c r="F31" s="171"/>
      <c r="G31" s="171"/>
      <c r="H31" s="35">
        <f t="shared" si="0"/>
        <v>0</v>
      </c>
      <c r="J31" s="38"/>
      <c r="K31" s="23"/>
      <c r="L31" s="23"/>
      <c r="M31" s="38"/>
      <c r="N31" s="38"/>
    </row>
    <row r="32" spans="1:17" s="30" customFormat="1" ht="18" customHeight="1" x14ac:dyDescent="0.25">
      <c r="A32" s="39"/>
      <c r="B32" s="40" t="s">
        <v>142</v>
      </c>
      <c r="C32" s="40">
        <f>SUM(C9:C31)</f>
        <v>17</v>
      </c>
      <c r="D32" s="40">
        <f>SUM(D9:D31)</f>
        <v>27</v>
      </c>
      <c r="E32" s="40">
        <v>14</v>
      </c>
      <c r="F32" s="40"/>
      <c r="G32" s="40"/>
      <c r="H32" s="40">
        <f>SUM(H9:H31)</f>
        <v>58</v>
      </c>
      <c r="I32" s="41"/>
      <c r="J32" s="41"/>
      <c r="K32" s="42"/>
      <c r="L32" s="42"/>
      <c r="M32" s="38"/>
      <c r="N32" s="26"/>
      <c r="O32" s="43"/>
      <c r="P32" s="43"/>
      <c r="Q32" s="43"/>
    </row>
    <row r="33" spans="1:17" s="30" customFormat="1" ht="21.75" customHeight="1" x14ac:dyDescent="0.25">
      <c r="A33" s="44" t="s">
        <v>143</v>
      </c>
      <c r="B33" s="27"/>
      <c r="C33" s="28"/>
      <c r="D33" s="28"/>
      <c r="E33" s="27"/>
      <c r="F33" s="27"/>
      <c r="G33" s="27"/>
      <c r="H33" s="29"/>
      <c r="M33" s="38"/>
    </row>
    <row r="34" spans="1:17" s="36" customFormat="1" ht="18" customHeight="1" x14ac:dyDescent="0.25">
      <c r="A34" s="31">
        <v>24</v>
      </c>
      <c r="B34" s="32" t="s">
        <v>144</v>
      </c>
      <c r="C34" s="37"/>
      <c r="D34" s="217"/>
      <c r="E34" s="34"/>
      <c r="F34" s="171"/>
      <c r="G34" s="171"/>
      <c r="H34" s="35">
        <f>SUM(C34:G34)</f>
        <v>0</v>
      </c>
      <c r="J34" s="38"/>
      <c r="K34" s="38"/>
      <c r="L34" s="38"/>
      <c r="M34" s="38"/>
      <c r="N34" s="38"/>
      <c r="O34" s="38"/>
      <c r="P34" s="38"/>
      <c r="Q34" s="38"/>
    </row>
    <row r="35" spans="1:17" s="36" customFormat="1" ht="18" customHeight="1" x14ac:dyDescent="0.25">
      <c r="A35" s="31">
        <v>25</v>
      </c>
      <c r="B35" s="32" t="s">
        <v>145</v>
      </c>
      <c r="C35" s="37"/>
      <c r="D35" s="217"/>
      <c r="E35" s="34">
        <v>1</v>
      </c>
      <c r="F35" s="171"/>
      <c r="G35" s="171"/>
      <c r="H35" s="35">
        <f t="shared" ref="H35:H51" si="1">SUM(C35:G35)</f>
        <v>1</v>
      </c>
      <c r="J35" s="38"/>
      <c r="K35" s="38"/>
      <c r="L35" s="38"/>
      <c r="M35" s="38"/>
      <c r="N35" s="190"/>
      <c r="O35" s="38"/>
      <c r="P35" s="38"/>
      <c r="Q35" s="38"/>
    </row>
    <row r="36" spans="1:17" s="36" customFormat="1" ht="18" customHeight="1" x14ac:dyDescent="0.25">
      <c r="A36" s="31">
        <v>26</v>
      </c>
      <c r="B36" s="32" t="s">
        <v>146</v>
      </c>
      <c r="C36" s="37"/>
      <c r="D36" s="217">
        <v>4</v>
      </c>
      <c r="E36" s="34">
        <v>2</v>
      </c>
      <c r="F36" s="171"/>
      <c r="G36" s="171"/>
      <c r="H36" s="35">
        <f t="shared" si="1"/>
        <v>6</v>
      </c>
      <c r="J36" s="38"/>
      <c r="K36" s="38"/>
      <c r="L36" s="38"/>
      <c r="M36" s="38"/>
      <c r="N36" s="190"/>
      <c r="O36" s="38"/>
      <c r="P36" s="38"/>
      <c r="Q36" s="38"/>
    </row>
    <row r="37" spans="1:17" s="36" customFormat="1" ht="18" customHeight="1" x14ac:dyDescent="0.25">
      <c r="A37" s="31">
        <v>27</v>
      </c>
      <c r="B37" s="32" t="s">
        <v>147</v>
      </c>
      <c r="C37" s="37"/>
      <c r="D37" s="217"/>
      <c r="E37" s="34">
        <v>1</v>
      </c>
      <c r="F37" s="171"/>
      <c r="G37" s="171"/>
      <c r="H37" s="35">
        <f t="shared" si="1"/>
        <v>1</v>
      </c>
      <c r="I37" s="45"/>
      <c r="J37" s="38"/>
      <c r="K37" s="38"/>
      <c r="L37" s="38"/>
      <c r="M37" s="38"/>
      <c r="N37" s="190"/>
      <c r="O37" s="38"/>
      <c r="P37" s="38"/>
      <c r="Q37" s="38"/>
    </row>
    <row r="38" spans="1:17" s="36" customFormat="1" ht="18" customHeight="1" x14ac:dyDescent="0.25">
      <c r="A38" s="31">
        <v>28</v>
      </c>
      <c r="B38" s="32" t="s">
        <v>546</v>
      </c>
      <c r="C38" s="37"/>
      <c r="D38" s="217"/>
      <c r="E38" s="34">
        <v>7</v>
      </c>
      <c r="F38" s="171"/>
      <c r="G38" s="171"/>
      <c r="H38" s="35">
        <f t="shared" si="1"/>
        <v>7</v>
      </c>
      <c r="I38" s="45"/>
      <c r="J38" s="38"/>
      <c r="K38" s="38"/>
      <c r="L38" s="45"/>
      <c r="M38" s="38"/>
      <c r="N38" s="190"/>
      <c r="O38" s="38"/>
      <c r="P38" s="38"/>
      <c r="Q38" s="38"/>
    </row>
    <row r="39" spans="1:17" s="36" customFormat="1" ht="18" customHeight="1" x14ac:dyDescent="0.25">
      <c r="A39" s="31">
        <v>29</v>
      </c>
      <c r="B39" s="32" t="s">
        <v>148</v>
      </c>
      <c r="C39" s="37"/>
      <c r="D39" s="217">
        <v>18</v>
      </c>
      <c r="E39" s="34">
        <v>9</v>
      </c>
      <c r="F39" s="171"/>
      <c r="G39" s="171"/>
      <c r="H39" s="35">
        <f t="shared" si="1"/>
        <v>27</v>
      </c>
      <c r="I39" s="45"/>
      <c r="J39" s="38"/>
      <c r="K39" s="38"/>
      <c r="L39" s="46"/>
      <c r="M39" s="38"/>
      <c r="N39" s="190"/>
      <c r="O39" s="38"/>
      <c r="P39" s="38"/>
      <c r="Q39" s="38"/>
    </row>
    <row r="40" spans="1:17" s="36" customFormat="1" ht="18" customHeight="1" x14ac:dyDescent="0.25">
      <c r="A40" s="31">
        <v>30</v>
      </c>
      <c r="B40" s="32" t="s">
        <v>149</v>
      </c>
      <c r="C40" s="37"/>
      <c r="D40" s="217">
        <v>21</v>
      </c>
      <c r="E40" s="34">
        <v>19</v>
      </c>
      <c r="F40" s="171"/>
      <c r="G40" s="171"/>
      <c r="H40" s="35">
        <f t="shared" si="1"/>
        <v>40</v>
      </c>
      <c r="I40" s="45"/>
      <c r="J40" s="38"/>
      <c r="K40" s="38"/>
      <c r="L40" s="38"/>
      <c r="M40" s="38"/>
      <c r="N40" s="190"/>
      <c r="O40" s="23"/>
      <c r="P40" s="38"/>
    </row>
    <row r="41" spans="1:17" s="36" customFormat="1" ht="18" customHeight="1" x14ac:dyDescent="0.25">
      <c r="A41" s="31">
        <v>31</v>
      </c>
      <c r="B41" s="32" t="s">
        <v>150</v>
      </c>
      <c r="C41" s="37"/>
      <c r="D41" s="217">
        <v>27</v>
      </c>
      <c r="E41" s="34">
        <v>30</v>
      </c>
      <c r="F41" s="171">
        <v>3</v>
      </c>
      <c r="G41" s="171">
        <v>2</v>
      </c>
      <c r="H41" s="35">
        <f t="shared" si="1"/>
        <v>62</v>
      </c>
      <c r="I41" s="45"/>
      <c r="J41" s="38"/>
      <c r="K41" s="38"/>
      <c r="L41" s="46"/>
      <c r="M41" s="38"/>
      <c r="N41" s="190"/>
      <c r="O41" s="23"/>
      <c r="P41" s="38"/>
    </row>
    <row r="42" spans="1:17" s="36" customFormat="1" ht="18" customHeight="1" x14ac:dyDescent="0.25">
      <c r="A42" s="31">
        <v>32</v>
      </c>
      <c r="B42" s="32" t="s">
        <v>151</v>
      </c>
      <c r="C42" s="37"/>
      <c r="D42" s="217">
        <v>25</v>
      </c>
      <c r="E42" s="34">
        <v>31</v>
      </c>
      <c r="F42" s="171">
        <v>1</v>
      </c>
      <c r="G42" s="171">
        <v>2</v>
      </c>
      <c r="H42" s="35">
        <f t="shared" si="1"/>
        <v>59</v>
      </c>
      <c r="I42" s="45"/>
      <c r="J42" s="38"/>
      <c r="K42" s="38"/>
      <c r="L42" s="38"/>
      <c r="M42" s="38"/>
      <c r="N42" s="190"/>
      <c r="O42" s="23"/>
      <c r="P42" s="38"/>
    </row>
    <row r="43" spans="1:17" s="36" customFormat="1" ht="18" customHeight="1" x14ac:dyDescent="0.25">
      <c r="A43" s="31">
        <v>33</v>
      </c>
      <c r="B43" s="32" t="s">
        <v>152</v>
      </c>
      <c r="C43" s="37"/>
      <c r="D43" s="217"/>
      <c r="E43" s="34">
        <v>26</v>
      </c>
      <c r="F43" s="171"/>
      <c r="G43" s="171">
        <v>1</v>
      </c>
      <c r="H43" s="35">
        <f t="shared" si="1"/>
        <v>27</v>
      </c>
      <c r="I43" s="45"/>
      <c r="J43" s="38"/>
      <c r="K43" s="38"/>
      <c r="L43" s="46"/>
      <c r="M43" s="38"/>
      <c r="N43" s="190"/>
      <c r="O43" s="23"/>
      <c r="P43" s="38"/>
    </row>
    <row r="44" spans="1:17" s="36" customFormat="1" ht="18" customHeight="1" x14ac:dyDescent="0.25">
      <c r="A44" s="31">
        <v>34</v>
      </c>
      <c r="B44" s="32" t="s">
        <v>153</v>
      </c>
      <c r="C44" s="37"/>
      <c r="D44" s="217">
        <v>9</v>
      </c>
      <c r="E44" s="34">
        <v>10</v>
      </c>
      <c r="F44" s="171"/>
      <c r="G44" s="171"/>
      <c r="H44" s="35">
        <f t="shared" si="1"/>
        <v>19</v>
      </c>
      <c r="I44" s="45"/>
      <c r="J44" s="38"/>
      <c r="K44" s="38"/>
      <c r="L44" s="38"/>
      <c r="M44" s="38"/>
      <c r="N44" s="190"/>
      <c r="O44" s="23"/>
      <c r="P44" s="38"/>
    </row>
    <row r="45" spans="1:17" s="36" customFormat="1" ht="18" customHeight="1" x14ac:dyDescent="0.25">
      <c r="A45" s="31">
        <v>35</v>
      </c>
      <c r="B45" s="32" t="s">
        <v>154</v>
      </c>
      <c r="C45" s="37"/>
      <c r="D45" s="217"/>
      <c r="E45" s="34">
        <v>1</v>
      </c>
      <c r="F45" s="171"/>
      <c r="G45" s="171"/>
      <c r="H45" s="35">
        <f t="shared" si="1"/>
        <v>1</v>
      </c>
      <c r="I45" s="45"/>
      <c r="J45" s="38"/>
      <c r="K45" s="38"/>
      <c r="L45" s="46"/>
      <c r="M45" s="38"/>
      <c r="N45" s="190"/>
      <c r="O45" s="23"/>
      <c r="P45" s="38"/>
    </row>
    <row r="46" spans="1:17" s="36" customFormat="1" ht="18" customHeight="1" x14ac:dyDescent="0.25">
      <c r="A46" s="31">
        <v>36</v>
      </c>
      <c r="B46" s="32" t="s">
        <v>130</v>
      </c>
      <c r="C46" s="37"/>
      <c r="D46" s="217">
        <v>2</v>
      </c>
      <c r="E46" s="34">
        <v>1</v>
      </c>
      <c r="F46" s="171"/>
      <c r="G46" s="171"/>
      <c r="H46" s="35">
        <f t="shared" si="1"/>
        <v>3</v>
      </c>
      <c r="I46" s="45"/>
      <c r="J46" s="38"/>
      <c r="K46" s="38"/>
      <c r="L46" s="38"/>
      <c r="M46" s="38"/>
      <c r="N46" s="190"/>
      <c r="O46" s="23"/>
      <c r="P46" s="38"/>
    </row>
    <row r="47" spans="1:17" s="36" customFormat="1" ht="18" customHeight="1" x14ac:dyDescent="0.25">
      <c r="A47" s="31">
        <v>38</v>
      </c>
      <c r="B47" s="32" t="s">
        <v>155</v>
      </c>
      <c r="C47" s="37"/>
      <c r="D47" s="217"/>
      <c r="E47" s="34">
        <v>1</v>
      </c>
      <c r="F47" s="171">
        <v>1</v>
      </c>
      <c r="G47" s="171">
        <v>2</v>
      </c>
      <c r="H47" s="35">
        <f t="shared" si="1"/>
        <v>4</v>
      </c>
      <c r="I47" s="45"/>
      <c r="J47" s="38"/>
      <c r="K47" s="38"/>
      <c r="L47" s="46"/>
      <c r="M47" s="38"/>
      <c r="N47" s="190"/>
      <c r="O47" s="23"/>
      <c r="P47" s="38"/>
    </row>
    <row r="48" spans="1:17" s="36" customFormat="1" ht="18" customHeight="1" x14ac:dyDescent="0.25">
      <c r="A48" s="31">
        <v>39</v>
      </c>
      <c r="B48" s="32" t="s">
        <v>156</v>
      </c>
      <c r="C48" s="37"/>
      <c r="D48" s="217"/>
      <c r="E48" s="34">
        <v>2</v>
      </c>
      <c r="F48" s="171"/>
      <c r="G48" s="171"/>
      <c r="H48" s="35">
        <f t="shared" si="1"/>
        <v>2</v>
      </c>
      <c r="I48" s="45"/>
      <c r="J48" s="38"/>
      <c r="K48" s="38"/>
      <c r="L48" s="38"/>
      <c r="M48" s="38"/>
      <c r="N48" s="190"/>
      <c r="O48" s="23"/>
      <c r="P48" s="38"/>
    </row>
    <row r="49" spans="1:17" s="36" customFormat="1" ht="18" customHeight="1" x14ac:dyDescent="0.25">
      <c r="A49" s="31">
        <v>40</v>
      </c>
      <c r="B49" s="32" t="s">
        <v>272</v>
      </c>
      <c r="C49" s="37"/>
      <c r="D49" s="217">
        <v>5</v>
      </c>
      <c r="E49" s="34">
        <v>2</v>
      </c>
      <c r="F49" s="171"/>
      <c r="G49" s="171"/>
      <c r="H49" s="35">
        <f t="shared" si="1"/>
        <v>7</v>
      </c>
      <c r="I49" s="45"/>
      <c r="J49" s="38"/>
      <c r="K49" s="38"/>
      <c r="L49" s="46"/>
      <c r="M49" s="38"/>
      <c r="N49" s="190"/>
      <c r="O49" s="23"/>
      <c r="P49" s="38"/>
    </row>
    <row r="50" spans="1:17" s="36" customFormat="1" ht="18" customHeight="1" x14ac:dyDescent="0.25">
      <c r="A50" s="31">
        <v>41</v>
      </c>
      <c r="B50" s="32" t="s">
        <v>157</v>
      </c>
      <c r="C50" s="37"/>
      <c r="D50" s="217"/>
      <c r="E50" s="34">
        <v>6</v>
      </c>
      <c r="F50" s="171"/>
      <c r="G50" s="171"/>
      <c r="H50" s="35">
        <f t="shared" si="1"/>
        <v>6</v>
      </c>
      <c r="I50" s="45"/>
      <c r="J50" s="38"/>
      <c r="K50" s="38"/>
      <c r="L50" s="38"/>
      <c r="M50" s="38"/>
      <c r="N50" s="190"/>
      <c r="O50" s="23"/>
      <c r="P50" s="38"/>
    </row>
    <row r="51" spans="1:17" s="36" customFormat="1" ht="18" customHeight="1" x14ac:dyDescent="0.25">
      <c r="A51" s="31">
        <v>42</v>
      </c>
      <c r="B51" s="32" t="s">
        <v>158</v>
      </c>
      <c r="C51" s="37"/>
      <c r="D51" s="217"/>
      <c r="E51" s="34"/>
      <c r="F51" s="171"/>
      <c r="G51" s="171"/>
      <c r="H51" s="35">
        <f t="shared" si="1"/>
        <v>0</v>
      </c>
      <c r="I51" s="45"/>
      <c r="J51" s="38"/>
      <c r="K51" s="38"/>
      <c r="L51" s="46"/>
      <c r="M51" s="38"/>
      <c r="N51" s="38"/>
      <c r="O51" s="38"/>
      <c r="P51" s="38"/>
    </row>
    <row r="52" spans="1:17" s="30" customFormat="1" ht="18" customHeight="1" x14ac:dyDescent="0.25">
      <c r="A52" s="39"/>
      <c r="B52" s="40" t="s">
        <v>142</v>
      </c>
      <c r="C52" s="40">
        <f t="shared" ref="C52:H52" si="2">SUM(C34:C51)</f>
        <v>0</v>
      </c>
      <c r="D52" s="40">
        <f>SUM(D34:D51)</f>
        <v>111</v>
      </c>
      <c r="E52" s="40">
        <f t="shared" si="2"/>
        <v>149</v>
      </c>
      <c r="F52" s="40">
        <f t="shared" si="2"/>
        <v>5</v>
      </c>
      <c r="G52" s="40">
        <f t="shared" si="2"/>
        <v>7</v>
      </c>
      <c r="H52" s="40">
        <f t="shared" si="2"/>
        <v>272</v>
      </c>
      <c r="I52" s="41"/>
      <c r="J52" s="38"/>
      <c r="K52" s="38"/>
      <c r="L52" s="38"/>
      <c r="M52" s="38"/>
      <c r="N52" s="38"/>
      <c r="O52" s="43"/>
      <c r="P52" s="43"/>
      <c r="Q52" s="43"/>
    </row>
    <row r="53" spans="1:17" x14ac:dyDescent="0.25">
      <c r="A53" s="47"/>
      <c r="B53" s="23"/>
      <c r="C53" s="23"/>
      <c r="D53" s="23"/>
      <c r="E53" s="23"/>
      <c r="F53" s="23"/>
      <c r="G53" s="23"/>
      <c r="H53" s="23"/>
      <c r="I53" s="23"/>
      <c r="J53" s="38"/>
      <c r="K53" s="38"/>
      <c r="L53" s="46"/>
      <c r="M53" s="38"/>
      <c r="N53" s="38"/>
      <c r="O53" s="23"/>
      <c r="P53" s="23"/>
      <c r="Q53" s="23"/>
    </row>
    <row r="54" spans="1:17" s="51" customFormat="1" ht="15.75" x14ac:dyDescent="0.25">
      <c r="A54" s="48" t="s">
        <v>159</v>
      </c>
      <c r="B54" s="49"/>
      <c r="C54" s="49"/>
      <c r="D54" s="49"/>
      <c r="E54" s="49"/>
      <c r="F54" s="49"/>
      <c r="G54" s="49"/>
      <c r="H54" s="50"/>
      <c r="J54" s="38"/>
      <c r="K54" s="38"/>
      <c r="L54" s="38"/>
      <c r="M54" s="38"/>
      <c r="N54" s="38"/>
    </row>
    <row r="55" spans="1:17" s="54" customFormat="1" ht="18" customHeight="1" x14ac:dyDescent="0.25">
      <c r="A55" s="52">
        <v>1</v>
      </c>
      <c r="B55" s="53" t="s">
        <v>160</v>
      </c>
      <c r="C55" s="52">
        <v>1</v>
      </c>
      <c r="D55" s="52">
        <v>5</v>
      </c>
      <c r="E55" s="52">
        <v>2</v>
      </c>
      <c r="F55" s="52">
        <v>0</v>
      </c>
      <c r="G55" s="52">
        <v>0</v>
      </c>
      <c r="H55" s="35">
        <f>SUM(C55:G55)</f>
        <v>8</v>
      </c>
      <c r="J55" s="38"/>
      <c r="K55" s="38"/>
      <c r="L55" s="46"/>
      <c r="M55" s="38"/>
      <c r="N55" s="38"/>
    </row>
    <row r="56" spans="1:17" s="54" customFormat="1" x14ac:dyDescent="0.25">
      <c r="A56" s="52">
        <v>2</v>
      </c>
      <c r="B56" s="53" t="s">
        <v>161</v>
      </c>
      <c r="C56" s="52">
        <v>0</v>
      </c>
      <c r="D56" s="52">
        <v>1</v>
      </c>
      <c r="E56" s="52">
        <v>1</v>
      </c>
      <c r="F56" s="52">
        <v>0</v>
      </c>
      <c r="G56" s="52">
        <v>0</v>
      </c>
      <c r="H56" s="35">
        <f>SUM(C56:G56)</f>
        <v>2</v>
      </c>
      <c r="J56" s="38"/>
      <c r="K56" s="38"/>
      <c r="L56" s="38"/>
      <c r="M56" s="38"/>
      <c r="N56" s="38"/>
    </row>
    <row r="57" spans="1:17" s="54" customFormat="1" x14ac:dyDescent="0.25">
      <c r="A57" s="52">
        <v>3</v>
      </c>
      <c r="B57" s="53" t="s">
        <v>342</v>
      </c>
      <c r="C57" s="52">
        <v>1</v>
      </c>
      <c r="D57" s="52">
        <v>1</v>
      </c>
      <c r="E57" s="52">
        <v>0</v>
      </c>
      <c r="F57" s="52">
        <v>0</v>
      </c>
      <c r="G57" s="52">
        <v>0</v>
      </c>
      <c r="H57" s="35">
        <f>SUM(C57:G57)</f>
        <v>2</v>
      </c>
      <c r="J57" s="38"/>
      <c r="K57" s="38"/>
      <c r="L57" s="46"/>
      <c r="M57" s="38"/>
      <c r="N57" s="38"/>
    </row>
    <row r="58" spans="1:17" s="54" customFormat="1" x14ac:dyDescent="0.25">
      <c r="A58" s="52">
        <v>4</v>
      </c>
      <c r="B58" s="53" t="s">
        <v>518</v>
      </c>
      <c r="C58" s="52">
        <v>1</v>
      </c>
      <c r="D58" s="52">
        <v>1</v>
      </c>
      <c r="E58" s="52">
        <v>0</v>
      </c>
      <c r="F58" s="52">
        <v>0</v>
      </c>
      <c r="G58" s="52">
        <v>0</v>
      </c>
      <c r="H58" s="35">
        <f>SUM(C58:G58)</f>
        <v>2</v>
      </c>
      <c r="J58" s="38"/>
      <c r="K58" s="38"/>
      <c r="L58" s="38"/>
      <c r="M58" s="38"/>
      <c r="N58" s="38"/>
    </row>
    <row r="59" spans="1:17" ht="30" x14ac:dyDescent="0.25">
      <c r="A59" s="52">
        <v>5</v>
      </c>
      <c r="B59" s="207" t="s">
        <v>519</v>
      </c>
      <c r="C59" s="52">
        <v>3</v>
      </c>
      <c r="D59" s="52">
        <v>0</v>
      </c>
      <c r="E59" s="52">
        <v>0</v>
      </c>
      <c r="F59" s="52">
        <v>0</v>
      </c>
      <c r="G59" s="52">
        <v>0</v>
      </c>
      <c r="H59" s="52">
        <f>SUM(C59:G59)</f>
        <v>3</v>
      </c>
      <c r="J59" s="38"/>
      <c r="K59" s="38"/>
      <c r="L59" s="46"/>
      <c r="M59" s="38"/>
      <c r="N59" s="38"/>
    </row>
    <row r="60" spans="1:17" x14ac:dyDescent="0.25">
      <c r="A60" s="55"/>
      <c r="J60" s="38"/>
      <c r="K60" s="38"/>
      <c r="L60" s="38"/>
      <c r="M60" s="38"/>
      <c r="N60" s="38"/>
    </row>
    <row r="61" spans="1:17" x14ac:dyDescent="0.25">
      <c r="A61" s="55"/>
      <c r="J61" s="38"/>
      <c r="K61" s="38"/>
      <c r="L61" s="46"/>
      <c r="M61" s="38"/>
      <c r="N61" s="38"/>
    </row>
    <row r="62" spans="1:17" x14ac:dyDescent="0.25">
      <c r="A62" s="55"/>
      <c r="J62" s="38"/>
      <c r="K62" s="38"/>
      <c r="L62" s="38"/>
      <c r="M62" s="38"/>
      <c r="N62" s="38"/>
    </row>
    <row r="63" spans="1:17" x14ac:dyDescent="0.25">
      <c r="A63" s="55"/>
      <c r="J63" s="38"/>
      <c r="K63" s="38"/>
      <c r="L63" s="46"/>
      <c r="M63" s="46"/>
      <c r="N63" s="38"/>
    </row>
    <row r="64" spans="1:17" x14ac:dyDescent="0.25">
      <c r="A64" s="55"/>
      <c r="J64" s="38"/>
      <c r="K64" s="38"/>
      <c r="L64" s="38"/>
      <c r="M64" s="38"/>
      <c r="N64" s="38"/>
    </row>
    <row r="65" spans="1:11" x14ac:dyDescent="0.25">
      <c r="A65" s="55"/>
      <c r="J65" s="38"/>
      <c r="K65" s="38"/>
    </row>
    <row r="66" spans="1:11" x14ac:dyDescent="0.25">
      <c r="A66" s="55"/>
      <c r="J66" s="38"/>
      <c r="K66" s="38"/>
    </row>
    <row r="67" spans="1:11" x14ac:dyDescent="0.25">
      <c r="A67" s="55"/>
      <c r="J67" s="38"/>
      <c r="K67" s="38"/>
    </row>
    <row r="68" spans="1:11" x14ac:dyDescent="0.25">
      <c r="A68" s="55"/>
      <c r="J68" s="38"/>
      <c r="K68" s="38"/>
    </row>
    <row r="69" spans="1:11" x14ac:dyDescent="0.25">
      <c r="A69" s="55"/>
      <c r="J69" s="38"/>
      <c r="K69" s="38"/>
    </row>
    <row r="70" spans="1:11" x14ac:dyDescent="0.25">
      <c r="A70" s="55"/>
      <c r="J70" s="38"/>
      <c r="K70" s="38"/>
    </row>
    <row r="71" spans="1:11" x14ac:dyDescent="0.25">
      <c r="A71" s="55"/>
    </row>
    <row r="72" spans="1:11" x14ac:dyDescent="0.25">
      <c r="A72" s="55"/>
    </row>
    <row r="73" spans="1:11" x14ac:dyDescent="0.25">
      <c r="A73" s="55"/>
    </row>
  </sheetData>
  <mergeCells count="8">
    <mergeCell ref="A1:H1"/>
    <mergeCell ref="A2:H2"/>
    <mergeCell ref="A6:A7"/>
    <mergeCell ref="B6:B7"/>
    <mergeCell ref="C6:C7"/>
    <mergeCell ref="H6:H7"/>
    <mergeCell ref="A3:D4"/>
    <mergeCell ref="D6:G6"/>
  </mergeCells>
  <printOptions horizontalCentered="1"/>
  <pageMargins left="0" right="0" top="0.75" bottom="0.75" header="0.3" footer="0.3"/>
  <pageSetup scale="7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58"/>
  <sheetViews>
    <sheetView zoomScale="90" zoomScaleNormal="90" workbookViewId="0">
      <pane xSplit="2" ySplit="1" topLeftCell="I2" activePane="bottomRight" state="frozen"/>
      <selection pane="topRight" activeCell="C1" sqref="C1"/>
      <selection pane="bottomLeft" activeCell="A2" sqref="A2"/>
      <selection pane="bottomRight" activeCell="S2" sqref="S2"/>
    </sheetView>
  </sheetViews>
  <sheetFormatPr defaultRowHeight="15" x14ac:dyDescent="0.25"/>
  <cols>
    <col min="1" max="1" width="4.7109375" customWidth="1"/>
    <col min="2" max="2" width="10.42578125" customWidth="1"/>
    <col min="3" max="3" width="13.140625" customWidth="1"/>
    <col min="4" max="4" width="15.7109375" bestFit="1" customWidth="1"/>
    <col min="5" max="5" width="11.42578125" hidden="1" customWidth="1"/>
    <col min="6" max="6" width="11.28515625" customWidth="1"/>
    <col min="7" max="7" width="11.140625" customWidth="1"/>
    <col min="8" max="8" width="10.5703125" customWidth="1"/>
    <col min="9" max="9" width="11.28515625" customWidth="1"/>
    <col min="10" max="10" width="11.42578125" customWidth="1"/>
    <col min="11" max="11" width="9.85546875" customWidth="1"/>
    <col min="12" max="12" width="12.5703125" customWidth="1"/>
    <col min="13" max="13" width="26.28515625" style="85" customWidth="1"/>
    <col min="14" max="14" width="12.28515625" customWidth="1"/>
    <col min="15" max="15" width="13.140625" customWidth="1"/>
    <col min="16" max="16" width="33.42578125" style="85" customWidth="1"/>
  </cols>
  <sheetData>
    <row r="1" spans="1:17" ht="18.75" x14ac:dyDescent="0.3">
      <c r="A1" s="264" t="s">
        <v>547</v>
      </c>
      <c r="B1" s="264"/>
      <c r="C1" s="264"/>
      <c r="D1" s="264"/>
      <c r="E1" s="264"/>
      <c r="F1" s="264"/>
      <c r="G1" s="264"/>
      <c r="H1" s="264"/>
      <c r="I1" s="264"/>
      <c r="J1" s="264"/>
      <c r="K1" s="264"/>
      <c r="L1" s="264"/>
      <c r="M1" s="264"/>
      <c r="N1" s="264"/>
      <c r="O1" s="264"/>
    </row>
    <row r="2" spans="1:17" ht="6.75" customHeight="1" thickBot="1" x14ac:dyDescent="0.3"/>
    <row r="3" spans="1:17" ht="75.75" thickBot="1" x14ac:dyDescent="0.3">
      <c r="A3" s="98" t="s">
        <v>162</v>
      </c>
      <c r="B3" s="100" t="s">
        <v>163</v>
      </c>
      <c r="C3" s="101" t="s">
        <v>164</v>
      </c>
      <c r="D3" s="101" t="s">
        <v>165</v>
      </c>
      <c r="E3" s="204" t="s">
        <v>166</v>
      </c>
      <c r="F3" s="101" t="s">
        <v>167</v>
      </c>
      <c r="G3" s="203" t="s">
        <v>168</v>
      </c>
      <c r="H3" s="203" t="s">
        <v>169</v>
      </c>
      <c r="I3" s="203" t="s">
        <v>170</v>
      </c>
      <c r="J3" s="203" t="s">
        <v>171</v>
      </c>
      <c r="K3" s="101" t="s">
        <v>172</v>
      </c>
      <c r="L3" s="101" t="s">
        <v>173</v>
      </c>
      <c r="M3" s="101" t="s">
        <v>313</v>
      </c>
      <c r="N3" s="204" t="s">
        <v>309</v>
      </c>
      <c r="O3" s="205" t="s">
        <v>310</v>
      </c>
      <c r="P3" s="102" t="s">
        <v>326</v>
      </c>
    </row>
    <row r="4" spans="1:17" ht="14.45" customHeight="1" x14ac:dyDescent="0.25">
      <c r="A4" s="250">
        <v>1</v>
      </c>
      <c r="B4" s="252" t="s">
        <v>174</v>
      </c>
      <c r="C4" s="88" t="s">
        <v>175</v>
      </c>
      <c r="D4" s="90">
        <v>31</v>
      </c>
      <c r="E4" s="163">
        <v>21</v>
      </c>
      <c r="F4" s="90">
        <f>D4-E4</f>
        <v>10</v>
      </c>
      <c r="G4" s="90">
        <v>0</v>
      </c>
      <c r="H4" s="90">
        <v>6</v>
      </c>
      <c r="I4" s="90">
        <f>H4-J4</f>
        <v>6</v>
      </c>
      <c r="J4" s="90">
        <v>0</v>
      </c>
      <c r="K4" s="90">
        <v>223</v>
      </c>
      <c r="L4" s="90" t="s">
        <v>176</v>
      </c>
      <c r="M4" s="99"/>
      <c r="N4" s="254">
        <v>100.1</v>
      </c>
      <c r="O4" s="259">
        <v>69.2</v>
      </c>
      <c r="P4" s="261" t="s">
        <v>445</v>
      </c>
    </row>
    <row r="5" spans="1:17" ht="14.45" customHeight="1" x14ac:dyDescent="0.25">
      <c r="A5" s="250"/>
      <c r="B5" s="251"/>
      <c r="C5" s="57" t="s">
        <v>177</v>
      </c>
      <c r="D5" s="58">
        <v>0</v>
      </c>
      <c r="E5" s="58">
        <v>0</v>
      </c>
      <c r="F5" s="58">
        <f t="shared" ref="F5:F53" si="0">D5-E5</f>
        <v>0</v>
      </c>
      <c r="G5" s="58">
        <v>0</v>
      </c>
      <c r="H5" s="58">
        <v>0</v>
      </c>
      <c r="I5" s="58">
        <v>0</v>
      </c>
      <c r="J5" s="58">
        <v>0</v>
      </c>
      <c r="K5" s="58"/>
      <c r="L5" s="58"/>
      <c r="M5" s="86"/>
      <c r="N5" s="255"/>
      <c r="O5" s="258"/>
      <c r="P5" s="261"/>
    </row>
    <row r="6" spans="1:17" ht="28.9" customHeight="1" x14ac:dyDescent="0.25">
      <c r="A6" s="250">
        <v>2</v>
      </c>
      <c r="B6" s="251" t="s">
        <v>178</v>
      </c>
      <c r="C6" s="59" t="s">
        <v>175</v>
      </c>
      <c r="D6" s="87">
        <v>25</v>
      </c>
      <c r="E6" s="162">
        <v>11</v>
      </c>
      <c r="F6" s="87">
        <f t="shared" si="0"/>
        <v>14</v>
      </c>
      <c r="G6" s="87">
        <v>0</v>
      </c>
      <c r="H6" s="87">
        <v>5</v>
      </c>
      <c r="I6" s="87">
        <f>H6-J6</f>
        <v>5</v>
      </c>
      <c r="J6" s="87">
        <v>0</v>
      </c>
      <c r="K6" s="87">
        <v>134</v>
      </c>
      <c r="L6" s="87" t="s">
        <v>176</v>
      </c>
      <c r="M6" s="86"/>
      <c r="N6" s="255">
        <v>128</v>
      </c>
      <c r="O6" s="258">
        <v>27.2</v>
      </c>
      <c r="P6" s="261" t="s">
        <v>444</v>
      </c>
    </row>
    <row r="7" spans="1:17" ht="14.45" customHeight="1" x14ac:dyDescent="0.25">
      <c r="A7" s="250"/>
      <c r="B7" s="251"/>
      <c r="C7" s="57" t="s">
        <v>177</v>
      </c>
      <c r="D7" s="58">
        <v>0</v>
      </c>
      <c r="E7" s="58">
        <v>0</v>
      </c>
      <c r="F7" s="58">
        <f t="shared" si="0"/>
        <v>0</v>
      </c>
      <c r="G7" s="58">
        <v>0</v>
      </c>
      <c r="H7" s="58">
        <v>0</v>
      </c>
      <c r="I7" s="58">
        <v>0</v>
      </c>
      <c r="J7" s="58">
        <v>0</v>
      </c>
      <c r="K7" s="58"/>
      <c r="L7" s="58"/>
      <c r="M7" s="86"/>
      <c r="N7" s="255"/>
      <c r="O7" s="258"/>
      <c r="P7" s="261"/>
    </row>
    <row r="8" spans="1:17" ht="28.9" customHeight="1" x14ac:dyDescent="0.25">
      <c r="A8" s="250">
        <v>3</v>
      </c>
      <c r="B8" s="251" t="s">
        <v>179</v>
      </c>
      <c r="C8" s="59" t="s">
        <v>175</v>
      </c>
      <c r="D8" s="87">
        <v>30</v>
      </c>
      <c r="E8" s="162">
        <v>0</v>
      </c>
      <c r="F8" s="87">
        <f t="shared" si="0"/>
        <v>30</v>
      </c>
      <c r="G8" s="87">
        <v>0</v>
      </c>
      <c r="H8" s="87">
        <v>5</v>
      </c>
      <c r="I8" s="87">
        <f>H8-J8</f>
        <v>5</v>
      </c>
      <c r="J8" s="87">
        <v>0</v>
      </c>
      <c r="K8" s="87">
        <v>147</v>
      </c>
      <c r="L8" s="87" t="s">
        <v>176</v>
      </c>
      <c r="M8" s="86"/>
      <c r="N8" s="255">
        <v>151.69999999999999</v>
      </c>
      <c r="O8" s="258">
        <v>44.2</v>
      </c>
      <c r="P8" s="261"/>
    </row>
    <row r="9" spans="1:17" ht="14.45" customHeight="1" x14ac:dyDescent="0.25">
      <c r="A9" s="250"/>
      <c r="B9" s="251"/>
      <c r="C9" s="57" t="s">
        <v>177</v>
      </c>
      <c r="D9" s="58">
        <v>0</v>
      </c>
      <c r="E9" s="58">
        <v>0</v>
      </c>
      <c r="F9" s="58">
        <f t="shared" si="0"/>
        <v>0</v>
      </c>
      <c r="G9" s="58">
        <v>0</v>
      </c>
      <c r="H9" s="58">
        <v>0</v>
      </c>
      <c r="I9" s="58">
        <v>0</v>
      </c>
      <c r="J9" s="58">
        <v>0</v>
      </c>
      <c r="K9" s="58"/>
      <c r="L9" s="58"/>
      <c r="M9" s="86"/>
      <c r="N9" s="255"/>
      <c r="O9" s="258"/>
      <c r="P9" s="261"/>
    </row>
    <row r="10" spans="1:17" ht="28.9" customHeight="1" x14ac:dyDescent="0.25">
      <c r="A10" s="250">
        <v>4</v>
      </c>
      <c r="B10" s="251" t="s">
        <v>180</v>
      </c>
      <c r="C10" s="59" t="s">
        <v>175</v>
      </c>
      <c r="D10" s="87">
        <v>33</v>
      </c>
      <c r="E10" s="162">
        <v>17</v>
      </c>
      <c r="F10" s="87">
        <f t="shared" si="0"/>
        <v>16</v>
      </c>
      <c r="G10" s="87">
        <v>0</v>
      </c>
      <c r="H10" s="87">
        <v>6</v>
      </c>
      <c r="I10" s="87">
        <f>H10-J10</f>
        <v>6</v>
      </c>
      <c r="J10" s="87">
        <v>0</v>
      </c>
      <c r="K10" s="87">
        <v>199</v>
      </c>
      <c r="L10" s="87" t="s">
        <v>176</v>
      </c>
      <c r="M10" s="86"/>
      <c r="N10" s="255">
        <v>180.7</v>
      </c>
      <c r="O10" s="258">
        <v>43.4</v>
      </c>
      <c r="P10" s="261" t="s">
        <v>449</v>
      </c>
    </row>
    <row r="11" spans="1:17" ht="14.45" customHeight="1" x14ac:dyDescent="0.25">
      <c r="A11" s="250"/>
      <c r="B11" s="251"/>
      <c r="C11" s="57" t="s">
        <v>177</v>
      </c>
      <c r="D11" s="58">
        <v>0</v>
      </c>
      <c r="E11" s="58">
        <v>0</v>
      </c>
      <c r="F11" s="58">
        <f t="shared" si="0"/>
        <v>0</v>
      </c>
      <c r="G11" s="58">
        <v>0</v>
      </c>
      <c r="H11" s="58">
        <v>0</v>
      </c>
      <c r="I11" s="58">
        <v>0</v>
      </c>
      <c r="J11" s="58">
        <v>0</v>
      </c>
      <c r="K11" s="58"/>
      <c r="L11" s="58"/>
      <c r="M11" s="86"/>
      <c r="N11" s="255"/>
      <c r="O11" s="258"/>
      <c r="P11" s="261"/>
    </row>
    <row r="12" spans="1:17" ht="14.45" customHeight="1" x14ac:dyDescent="0.25">
      <c r="A12" s="250">
        <v>5</v>
      </c>
      <c r="B12" s="251" t="s">
        <v>181</v>
      </c>
      <c r="C12" s="59" t="s">
        <v>175</v>
      </c>
      <c r="D12" s="87">
        <v>33</v>
      </c>
      <c r="E12" s="162">
        <v>33</v>
      </c>
      <c r="F12" s="87">
        <f t="shared" si="0"/>
        <v>0</v>
      </c>
      <c r="G12" s="87">
        <v>0</v>
      </c>
      <c r="H12" s="87">
        <v>4</v>
      </c>
      <c r="I12" s="87">
        <f>H12-J12</f>
        <v>4</v>
      </c>
      <c r="J12" s="87">
        <v>0</v>
      </c>
      <c r="K12" s="87">
        <v>123</v>
      </c>
      <c r="L12" s="87" t="s">
        <v>182</v>
      </c>
      <c r="M12" s="86"/>
      <c r="N12" s="255">
        <v>122.9</v>
      </c>
      <c r="O12" s="258">
        <v>86</v>
      </c>
      <c r="P12" s="261" t="s">
        <v>445</v>
      </c>
    </row>
    <row r="13" spans="1:17" ht="14.45" customHeight="1" x14ac:dyDescent="0.25">
      <c r="A13" s="250"/>
      <c r="B13" s="251"/>
      <c r="C13" s="57" t="s">
        <v>177</v>
      </c>
      <c r="D13" s="58">
        <v>0</v>
      </c>
      <c r="E13" s="58">
        <v>0</v>
      </c>
      <c r="F13" s="58">
        <f t="shared" si="0"/>
        <v>0</v>
      </c>
      <c r="G13" s="58">
        <v>0</v>
      </c>
      <c r="H13" s="58">
        <v>0</v>
      </c>
      <c r="I13" s="58">
        <v>0</v>
      </c>
      <c r="J13" s="58">
        <v>0</v>
      </c>
      <c r="K13" s="58"/>
      <c r="L13" s="58"/>
      <c r="M13" s="86"/>
      <c r="N13" s="255"/>
      <c r="O13" s="258"/>
      <c r="P13" s="261"/>
    </row>
    <row r="14" spans="1:17" ht="14.45" customHeight="1" x14ac:dyDescent="0.25">
      <c r="A14" s="250">
        <v>6</v>
      </c>
      <c r="B14" s="251" t="s">
        <v>183</v>
      </c>
      <c r="C14" s="59" t="s">
        <v>175</v>
      </c>
      <c r="D14" s="87">
        <v>43</v>
      </c>
      <c r="E14" s="162">
        <v>39</v>
      </c>
      <c r="F14" s="87">
        <f t="shared" si="0"/>
        <v>4</v>
      </c>
      <c r="G14" s="87">
        <v>0</v>
      </c>
      <c r="H14" s="87">
        <v>7</v>
      </c>
      <c r="I14" s="87">
        <f>H14-J14</f>
        <v>7</v>
      </c>
      <c r="J14" s="87">
        <v>0</v>
      </c>
      <c r="K14" s="87">
        <v>237</v>
      </c>
      <c r="L14" s="87" t="s">
        <v>184</v>
      </c>
      <c r="M14" s="86"/>
      <c r="N14" s="255">
        <v>318.7</v>
      </c>
      <c r="O14" s="258">
        <v>235.2</v>
      </c>
      <c r="P14" s="261" t="s">
        <v>485</v>
      </c>
      <c r="Q14" s="183"/>
    </row>
    <row r="15" spans="1:17" ht="14.45" customHeight="1" x14ac:dyDescent="0.25">
      <c r="A15" s="250"/>
      <c r="B15" s="251"/>
      <c r="C15" s="57" t="s">
        <v>177</v>
      </c>
      <c r="D15" s="58">
        <v>0</v>
      </c>
      <c r="E15" s="58">
        <v>0</v>
      </c>
      <c r="F15" s="58">
        <f t="shared" si="0"/>
        <v>0</v>
      </c>
      <c r="G15" s="58">
        <v>0</v>
      </c>
      <c r="H15" s="58">
        <v>0</v>
      </c>
      <c r="I15" s="58">
        <v>0</v>
      </c>
      <c r="J15" s="58">
        <v>0</v>
      </c>
      <c r="K15" s="58"/>
      <c r="L15" s="58"/>
      <c r="M15" s="86"/>
      <c r="N15" s="255"/>
      <c r="O15" s="258"/>
      <c r="P15" s="261"/>
    </row>
    <row r="16" spans="1:17" ht="14.45" customHeight="1" x14ac:dyDescent="0.25">
      <c r="A16" s="250">
        <v>7</v>
      </c>
      <c r="B16" s="251" t="s">
        <v>185</v>
      </c>
      <c r="C16" s="59" t="s">
        <v>175</v>
      </c>
      <c r="D16" s="87">
        <v>25</v>
      </c>
      <c r="E16" s="162">
        <v>24</v>
      </c>
      <c r="F16" s="87">
        <f t="shared" si="0"/>
        <v>1</v>
      </c>
      <c r="G16" s="87">
        <v>0</v>
      </c>
      <c r="H16" s="87">
        <v>6</v>
      </c>
      <c r="I16" s="87">
        <f>H16-J16</f>
        <v>6</v>
      </c>
      <c r="J16" s="87">
        <v>0</v>
      </c>
      <c r="K16" s="87">
        <v>154</v>
      </c>
      <c r="L16" s="87" t="s">
        <v>186</v>
      </c>
      <c r="M16" s="248" t="s">
        <v>187</v>
      </c>
      <c r="N16" s="255">
        <v>160.6</v>
      </c>
      <c r="O16" s="258">
        <v>160.6</v>
      </c>
      <c r="P16" s="265" t="s">
        <v>484</v>
      </c>
    </row>
    <row r="17" spans="1:16" ht="14.45" customHeight="1" x14ac:dyDescent="0.25">
      <c r="A17" s="250"/>
      <c r="B17" s="251"/>
      <c r="C17" s="57" t="s">
        <v>177</v>
      </c>
      <c r="D17" s="58">
        <v>0</v>
      </c>
      <c r="E17" s="58">
        <v>0</v>
      </c>
      <c r="F17" s="58">
        <f t="shared" si="0"/>
        <v>0</v>
      </c>
      <c r="G17" s="58">
        <v>0</v>
      </c>
      <c r="H17" s="58">
        <v>0</v>
      </c>
      <c r="I17" s="58">
        <v>0</v>
      </c>
      <c r="J17" s="58">
        <v>0</v>
      </c>
      <c r="K17" s="58"/>
      <c r="L17" s="58"/>
      <c r="M17" s="249"/>
      <c r="N17" s="255"/>
      <c r="O17" s="258"/>
      <c r="P17" s="266"/>
    </row>
    <row r="18" spans="1:16" x14ac:dyDescent="0.25">
      <c r="A18" s="250">
        <v>8</v>
      </c>
      <c r="B18" s="251" t="s">
        <v>188</v>
      </c>
      <c r="C18" s="59" t="s">
        <v>175</v>
      </c>
      <c r="D18" s="87">
        <v>0</v>
      </c>
      <c r="E18" s="162">
        <v>0</v>
      </c>
      <c r="F18" s="87">
        <f t="shared" si="0"/>
        <v>0</v>
      </c>
      <c r="G18" s="87">
        <v>0</v>
      </c>
      <c r="H18" s="87">
        <v>0</v>
      </c>
      <c r="I18" s="87">
        <f>H18-J18</f>
        <v>0</v>
      </c>
      <c r="J18" s="87">
        <v>0</v>
      </c>
      <c r="K18" s="87"/>
      <c r="L18" s="87"/>
      <c r="M18" s="86"/>
      <c r="N18" s="255">
        <v>0</v>
      </c>
      <c r="O18" s="258"/>
      <c r="P18" s="261"/>
    </row>
    <row r="19" spans="1:16" x14ac:dyDescent="0.25">
      <c r="A19" s="250"/>
      <c r="B19" s="251"/>
      <c r="C19" s="57" t="s">
        <v>177</v>
      </c>
      <c r="D19" s="58">
        <v>33</v>
      </c>
      <c r="E19" s="58">
        <v>0</v>
      </c>
      <c r="F19" s="58">
        <f t="shared" si="0"/>
        <v>33</v>
      </c>
      <c r="G19" s="58">
        <v>0</v>
      </c>
      <c r="H19" s="58">
        <v>1</v>
      </c>
      <c r="I19" s="58">
        <v>0</v>
      </c>
      <c r="J19" s="58">
        <v>0</v>
      </c>
      <c r="K19" s="58"/>
      <c r="L19" s="58"/>
      <c r="M19" s="86"/>
      <c r="N19" s="255"/>
      <c r="O19" s="258"/>
      <c r="P19" s="261"/>
    </row>
    <row r="20" spans="1:16" ht="30" x14ac:dyDescent="0.25">
      <c r="A20" s="250">
        <v>9</v>
      </c>
      <c r="B20" s="251" t="s">
        <v>189</v>
      </c>
      <c r="C20" s="59" t="s">
        <v>175</v>
      </c>
      <c r="D20" s="87">
        <v>26</v>
      </c>
      <c r="E20" s="162">
        <v>26</v>
      </c>
      <c r="F20" s="87">
        <f t="shared" si="0"/>
        <v>0</v>
      </c>
      <c r="G20" s="87">
        <v>0</v>
      </c>
      <c r="H20" s="87">
        <v>9</v>
      </c>
      <c r="I20" s="87">
        <f>H20-J20</f>
        <v>9</v>
      </c>
      <c r="J20" s="87">
        <v>0</v>
      </c>
      <c r="K20" s="87">
        <v>311</v>
      </c>
      <c r="L20" s="87" t="s">
        <v>186</v>
      </c>
      <c r="M20" s="86" t="s">
        <v>187</v>
      </c>
      <c r="N20" s="255">
        <v>285</v>
      </c>
      <c r="O20" s="258">
        <v>282.2</v>
      </c>
      <c r="P20" s="267" t="s">
        <v>483</v>
      </c>
    </row>
    <row r="21" spans="1:16" x14ac:dyDescent="0.25">
      <c r="A21" s="250"/>
      <c r="B21" s="251"/>
      <c r="C21" s="57" t="s">
        <v>177</v>
      </c>
      <c r="D21" s="58">
        <v>0</v>
      </c>
      <c r="E21" s="58">
        <v>0</v>
      </c>
      <c r="F21" s="58">
        <f t="shared" si="0"/>
        <v>0</v>
      </c>
      <c r="G21" s="58">
        <v>0</v>
      </c>
      <c r="H21" s="58">
        <v>0</v>
      </c>
      <c r="I21" s="58">
        <v>0</v>
      </c>
      <c r="J21" s="58">
        <v>0</v>
      </c>
      <c r="K21" s="58"/>
      <c r="L21" s="58"/>
      <c r="M21" s="86"/>
      <c r="N21" s="255"/>
      <c r="O21" s="258"/>
      <c r="P21" s="267"/>
    </row>
    <row r="22" spans="1:16" x14ac:dyDescent="0.25">
      <c r="A22" s="250">
        <v>10</v>
      </c>
      <c r="B22" s="251" t="s">
        <v>190</v>
      </c>
      <c r="C22" s="59" t="s">
        <v>175</v>
      </c>
      <c r="D22" s="87">
        <v>43</v>
      </c>
      <c r="E22" s="162">
        <v>43</v>
      </c>
      <c r="F22" s="87">
        <f t="shared" si="0"/>
        <v>0</v>
      </c>
      <c r="G22" s="87">
        <v>0</v>
      </c>
      <c r="H22" s="87">
        <v>5</v>
      </c>
      <c r="I22" s="87">
        <f>H22-J22</f>
        <v>5</v>
      </c>
      <c r="J22" s="87">
        <v>0</v>
      </c>
      <c r="K22" s="87">
        <v>245</v>
      </c>
      <c r="L22" s="87" t="s">
        <v>186</v>
      </c>
      <c r="M22" s="86"/>
      <c r="N22" s="255">
        <v>264.60000000000002</v>
      </c>
      <c r="O22" s="258">
        <v>261.2</v>
      </c>
      <c r="P22" s="261" t="s">
        <v>486</v>
      </c>
    </row>
    <row r="23" spans="1:16" x14ac:dyDescent="0.25">
      <c r="A23" s="250"/>
      <c r="B23" s="251"/>
      <c r="C23" s="57" t="s">
        <v>177</v>
      </c>
      <c r="D23" s="58">
        <v>0</v>
      </c>
      <c r="E23" s="58">
        <v>0</v>
      </c>
      <c r="F23" s="58">
        <f t="shared" si="0"/>
        <v>0</v>
      </c>
      <c r="G23" s="58">
        <v>0</v>
      </c>
      <c r="H23" s="58">
        <v>0</v>
      </c>
      <c r="I23" s="58">
        <v>0</v>
      </c>
      <c r="J23" s="58">
        <v>0</v>
      </c>
      <c r="K23" s="58"/>
      <c r="L23" s="58"/>
      <c r="M23" s="86"/>
      <c r="N23" s="255"/>
      <c r="O23" s="258"/>
      <c r="P23" s="267"/>
    </row>
    <row r="24" spans="1:16" x14ac:dyDescent="0.25">
      <c r="A24" s="250">
        <v>11</v>
      </c>
      <c r="B24" s="251" t="s">
        <v>191</v>
      </c>
      <c r="C24" s="59" t="s">
        <v>175</v>
      </c>
      <c r="D24" s="87">
        <v>24</v>
      </c>
      <c r="E24" s="162">
        <v>24</v>
      </c>
      <c r="F24" s="87">
        <f t="shared" si="0"/>
        <v>0</v>
      </c>
      <c r="G24" s="87">
        <v>0</v>
      </c>
      <c r="H24" s="87">
        <v>8</v>
      </c>
      <c r="I24" s="87">
        <f>H24-J24</f>
        <v>8</v>
      </c>
      <c r="J24" s="87">
        <v>0</v>
      </c>
      <c r="K24" s="87">
        <v>231</v>
      </c>
      <c r="L24" s="87" t="s">
        <v>186</v>
      </c>
      <c r="M24" s="86"/>
      <c r="N24" s="255">
        <v>172.4</v>
      </c>
      <c r="O24" s="258">
        <v>172.4</v>
      </c>
      <c r="P24" s="267" t="s">
        <v>483</v>
      </c>
    </row>
    <row r="25" spans="1:16" x14ac:dyDescent="0.25">
      <c r="A25" s="250"/>
      <c r="B25" s="251"/>
      <c r="C25" s="57" t="s">
        <v>177</v>
      </c>
      <c r="D25" s="58">
        <v>0</v>
      </c>
      <c r="E25" s="58">
        <v>0</v>
      </c>
      <c r="F25" s="58">
        <f t="shared" si="0"/>
        <v>0</v>
      </c>
      <c r="G25" s="58">
        <v>0</v>
      </c>
      <c r="H25" s="58">
        <v>0</v>
      </c>
      <c r="I25" s="58">
        <v>0</v>
      </c>
      <c r="J25" s="58">
        <v>0</v>
      </c>
      <c r="K25" s="58"/>
      <c r="L25" s="58"/>
      <c r="M25" s="86"/>
      <c r="N25" s="255"/>
      <c r="O25" s="258"/>
      <c r="P25" s="267"/>
    </row>
    <row r="26" spans="1:16" x14ac:dyDescent="0.25">
      <c r="A26" s="250">
        <v>12</v>
      </c>
      <c r="B26" s="251" t="s">
        <v>192</v>
      </c>
      <c r="C26" s="59" t="s">
        <v>175</v>
      </c>
      <c r="D26" s="87">
        <v>22</v>
      </c>
      <c r="E26" s="162">
        <v>22</v>
      </c>
      <c r="F26" s="87">
        <f t="shared" si="0"/>
        <v>0</v>
      </c>
      <c r="G26" s="87">
        <v>0</v>
      </c>
      <c r="H26" s="87">
        <v>5</v>
      </c>
      <c r="I26" s="87">
        <f>H26-J26</f>
        <v>5</v>
      </c>
      <c r="J26" s="87">
        <v>0</v>
      </c>
      <c r="K26" s="87">
        <v>131</v>
      </c>
      <c r="L26" s="87" t="s">
        <v>184</v>
      </c>
      <c r="M26" s="86"/>
      <c r="N26" s="255">
        <v>134.30000000000001</v>
      </c>
      <c r="O26" s="258">
        <v>125.9</v>
      </c>
      <c r="P26" s="267" t="s">
        <v>402</v>
      </c>
    </row>
    <row r="27" spans="1:16" x14ac:dyDescent="0.25">
      <c r="A27" s="250"/>
      <c r="B27" s="251"/>
      <c r="C27" s="57" t="s">
        <v>177</v>
      </c>
      <c r="D27" s="58">
        <v>0</v>
      </c>
      <c r="E27" s="58">
        <v>0</v>
      </c>
      <c r="F27" s="58">
        <f t="shared" si="0"/>
        <v>0</v>
      </c>
      <c r="G27" s="58">
        <v>0</v>
      </c>
      <c r="H27" s="58">
        <v>0</v>
      </c>
      <c r="I27" s="58">
        <v>0</v>
      </c>
      <c r="J27" s="58">
        <v>0</v>
      </c>
      <c r="K27" s="58"/>
      <c r="L27" s="58"/>
      <c r="M27" s="86"/>
      <c r="N27" s="255"/>
      <c r="O27" s="258"/>
      <c r="P27" s="267"/>
    </row>
    <row r="28" spans="1:16" x14ac:dyDescent="0.25">
      <c r="A28" s="250">
        <v>13</v>
      </c>
      <c r="B28" s="251" t="s">
        <v>193</v>
      </c>
      <c r="C28" s="59" t="s">
        <v>175</v>
      </c>
      <c r="D28" s="87">
        <v>23</v>
      </c>
      <c r="E28" s="162">
        <v>19</v>
      </c>
      <c r="F28" s="87">
        <f t="shared" si="0"/>
        <v>4</v>
      </c>
      <c r="G28" s="87">
        <v>0</v>
      </c>
      <c r="H28" s="87">
        <v>6</v>
      </c>
      <c r="I28" s="87">
        <f>H28-J28</f>
        <v>6</v>
      </c>
      <c r="J28" s="87">
        <v>0</v>
      </c>
      <c r="K28" s="87">
        <v>155</v>
      </c>
      <c r="L28" s="87" t="s">
        <v>182</v>
      </c>
      <c r="M28" s="86"/>
      <c r="N28" s="255">
        <v>160.1</v>
      </c>
      <c r="O28" s="258">
        <v>122.6</v>
      </c>
      <c r="P28" s="260" t="s">
        <v>487</v>
      </c>
    </row>
    <row r="29" spans="1:16" x14ac:dyDescent="0.25">
      <c r="A29" s="250"/>
      <c r="B29" s="251"/>
      <c r="C29" s="57" t="s">
        <v>177</v>
      </c>
      <c r="D29" s="58">
        <v>0</v>
      </c>
      <c r="E29" s="58">
        <v>0</v>
      </c>
      <c r="F29" s="58">
        <f t="shared" si="0"/>
        <v>0</v>
      </c>
      <c r="G29" s="58">
        <v>0</v>
      </c>
      <c r="H29" s="58">
        <v>0</v>
      </c>
      <c r="I29" s="58">
        <v>0</v>
      </c>
      <c r="J29" s="58">
        <v>0</v>
      </c>
      <c r="K29" s="58"/>
      <c r="L29" s="58"/>
      <c r="M29" s="86"/>
      <c r="N29" s="255"/>
      <c r="O29" s="258"/>
      <c r="P29" s="261"/>
    </row>
    <row r="30" spans="1:16" x14ac:dyDescent="0.25">
      <c r="A30" s="250">
        <v>14</v>
      </c>
      <c r="B30" s="251" t="s">
        <v>194</v>
      </c>
      <c r="C30" s="59" t="s">
        <v>175</v>
      </c>
      <c r="D30" s="87">
        <v>29</v>
      </c>
      <c r="E30" s="162">
        <v>0</v>
      </c>
      <c r="F30" s="87">
        <f t="shared" si="0"/>
        <v>29</v>
      </c>
      <c r="G30" s="87">
        <v>0</v>
      </c>
      <c r="H30" s="87">
        <v>9</v>
      </c>
      <c r="I30" s="87">
        <f>H30-J30</f>
        <v>8</v>
      </c>
      <c r="J30" s="87">
        <v>1</v>
      </c>
      <c r="K30" s="87">
        <v>315</v>
      </c>
      <c r="L30" s="87" t="s">
        <v>176</v>
      </c>
      <c r="M30" s="86"/>
      <c r="N30" s="255">
        <v>108</v>
      </c>
      <c r="O30" s="258"/>
      <c r="P30" s="261"/>
    </row>
    <row r="31" spans="1:16" x14ac:dyDescent="0.25">
      <c r="A31" s="250"/>
      <c r="B31" s="251"/>
      <c r="C31" s="57" t="s">
        <v>177</v>
      </c>
      <c r="D31" s="58">
        <v>0</v>
      </c>
      <c r="E31" s="58">
        <v>0</v>
      </c>
      <c r="F31" s="58">
        <f t="shared" si="0"/>
        <v>0</v>
      </c>
      <c r="G31" s="58">
        <v>0</v>
      </c>
      <c r="H31" s="58">
        <v>0</v>
      </c>
      <c r="I31" s="58">
        <v>0</v>
      </c>
      <c r="J31" s="58">
        <v>0</v>
      </c>
      <c r="K31" s="58"/>
      <c r="L31" s="58"/>
      <c r="M31" s="86"/>
      <c r="N31" s="255"/>
      <c r="O31" s="258"/>
      <c r="P31" s="261"/>
    </row>
    <row r="32" spans="1:16" ht="15" customHeight="1" x14ac:dyDescent="0.25">
      <c r="A32" s="250">
        <v>15</v>
      </c>
      <c r="B32" s="251" t="s">
        <v>195</v>
      </c>
      <c r="C32" s="59" t="s">
        <v>175</v>
      </c>
      <c r="D32" s="87">
        <v>40</v>
      </c>
      <c r="E32" s="162">
        <v>35</v>
      </c>
      <c r="F32" s="87">
        <f t="shared" si="0"/>
        <v>5</v>
      </c>
      <c r="G32" s="87">
        <v>0</v>
      </c>
      <c r="H32" s="87">
        <v>10</v>
      </c>
      <c r="I32" s="87">
        <f>H32-J32</f>
        <v>10</v>
      </c>
      <c r="J32" s="87">
        <v>0</v>
      </c>
      <c r="K32" s="87">
        <v>332</v>
      </c>
      <c r="L32" s="87" t="s">
        <v>182</v>
      </c>
      <c r="M32" s="86" t="s">
        <v>325</v>
      </c>
      <c r="N32" s="255">
        <v>237.6</v>
      </c>
      <c r="O32" s="258">
        <v>193.5</v>
      </c>
      <c r="P32" s="260" t="s">
        <v>448</v>
      </c>
    </row>
    <row r="33" spans="1:16" x14ac:dyDescent="0.25">
      <c r="A33" s="250"/>
      <c r="B33" s="251"/>
      <c r="C33" s="57" t="s">
        <v>177</v>
      </c>
      <c r="D33" s="58">
        <v>0</v>
      </c>
      <c r="E33" s="58">
        <v>0</v>
      </c>
      <c r="F33" s="58">
        <f t="shared" si="0"/>
        <v>0</v>
      </c>
      <c r="G33" s="58">
        <v>0</v>
      </c>
      <c r="H33" s="58">
        <v>0</v>
      </c>
      <c r="I33" s="58">
        <v>0</v>
      </c>
      <c r="J33" s="58">
        <v>0</v>
      </c>
      <c r="K33" s="58"/>
      <c r="L33" s="58"/>
      <c r="M33" s="86"/>
      <c r="N33" s="255"/>
      <c r="O33" s="258"/>
      <c r="P33" s="261"/>
    </row>
    <row r="34" spans="1:16" x14ac:dyDescent="0.25">
      <c r="A34" s="250">
        <v>16</v>
      </c>
      <c r="B34" s="251" t="s">
        <v>196</v>
      </c>
      <c r="C34" s="59" t="s">
        <v>175</v>
      </c>
      <c r="D34" s="87">
        <v>52</v>
      </c>
      <c r="E34" s="162">
        <v>26</v>
      </c>
      <c r="F34" s="87">
        <f t="shared" si="0"/>
        <v>26</v>
      </c>
      <c r="G34" s="87">
        <v>0</v>
      </c>
      <c r="H34" s="87">
        <v>9</v>
      </c>
      <c r="I34" s="87">
        <f>H34-J34</f>
        <v>8</v>
      </c>
      <c r="J34" s="87">
        <v>1</v>
      </c>
      <c r="K34" s="87">
        <v>286</v>
      </c>
      <c r="L34" s="87" t="s">
        <v>197</v>
      </c>
      <c r="M34" s="86" t="s">
        <v>325</v>
      </c>
      <c r="N34" s="255">
        <v>287.60000000000002</v>
      </c>
      <c r="O34" s="258">
        <v>110.3</v>
      </c>
      <c r="P34" s="261" t="s">
        <v>429</v>
      </c>
    </row>
    <row r="35" spans="1:16" x14ac:dyDescent="0.25">
      <c r="A35" s="250"/>
      <c r="B35" s="251"/>
      <c r="C35" s="57" t="s">
        <v>177</v>
      </c>
      <c r="D35" s="58">
        <v>0</v>
      </c>
      <c r="E35" s="58">
        <v>0</v>
      </c>
      <c r="F35" s="58">
        <f t="shared" si="0"/>
        <v>0</v>
      </c>
      <c r="G35" s="58">
        <v>0</v>
      </c>
      <c r="H35" s="58">
        <v>0</v>
      </c>
      <c r="I35" s="58">
        <v>0</v>
      </c>
      <c r="J35" s="58">
        <v>0</v>
      </c>
      <c r="K35" s="58"/>
      <c r="L35" s="58"/>
      <c r="M35" s="86"/>
      <c r="N35" s="255"/>
      <c r="O35" s="258"/>
      <c r="P35" s="261"/>
    </row>
    <row r="36" spans="1:16" x14ac:dyDescent="0.25">
      <c r="A36" s="250">
        <v>17</v>
      </c>
      <c r="B36" s="251" t="s">
        <v>198</v>
      </c>
      <c r="C36" s="59" t="s">
        <v>175</v>
      </c>
      <c r="D36" s="87">
        <v>0</v>
      </c>
      <c r="E36" s="162">
        <v>0</v>
      </c>
      <c r="F36" s="87">
        <f t="shared" si="0"/>
        <v>0</v>
      </c>
      <c r="G36" s="87">
        <v>0</v>
      </c>
      <c r="H36" s="87">
        <v>0</v>
      </c>
      <c r="I36" s="87">
        <f>H36-J36</f>
        <v>0</v>
      </c>
      <c r="J36" s="87">
        <v>0</v>
      </c>
      <c r="K36" s="87"/>
      <c r="L36" s="87"/>
      <c r="M36" s="86"/>
      <c r="N36" s="255"/>
      <c r="O36" s="258"/>
      <c r="P36" s="261"/>
    </row>
    <row r="37" spans="1:16" x14ac:dyDescent="0.25">
      <c r="A37" s="250"/>
      <c r="B37" s="251"/>
      <c r="C37" s="57" t="s">
        <v>177</v>
      </c>
      <c r="D37" s="58">
        <v>31</v>
      </c>
      <c r="E37" s="58">
        <v>0</v>
      </c>
      <c r="F37" s="58">
        <f t="shared" si="0"/>
        <v>31</v>
      </c>
      <c r="G37" s="58">
        <v>0</v>
      </c>
      <c r="H37" s="58">
        <v>1</v>
      </c>
      <c r="I37" s="58">
        <v>0</v>
      </c>
      <c r="J37" s="58">
        <v>0</v>
      </c>
      <c r="K37" s="58"/>
      <c r="L37" s="58"/>
      <c r="M37" s="86"/>
      <c r="N37" s="255"/>
      <c r="O37" s="258"/>
      <c r="P37" s="261"/>
    </row>
    <row r="38" spans="1:16" x14ac:dyDescent="0.25">
      <c r="A38" s="250">
        <v>18</v>
      </c>
      <c r="B38" s="251" t="s">
        <v>199</v>
      </c>
      <c r="C38" s="59" t="s">
        <v>175</v>
      </c>
      <c r="D38" s="87">
        <v>0</v>
      </c>
      <c r="E38" s="162">
        <v>0</v>
      </c>
      <c r="F38" s="87">
        <f t="shared" si="0"/>
        <v>0</v>
      </c>
      <c r="G38" s="87">
        <v>0</v>
      </c>
      <c r="H38" s="87">
        <v>0</v>
      </c>
      <c r="I38" s="87">
        <f>H38-J38</f>
        <v>0</v>
      </c>
      <c r="J38" s="87">
        <v>0</v>
      </c>
      <c r="K38" s="87"/>
      <c r="L38" s="87"/>
      <c r="M38" s="86"/>
      <c r="N38" s="255"/>
      <c r="O38" s="258"/>
      <c r="P38" s="261"/>
    </row>
    <row r="39" spans="1:16" x14ac:dyDescent="0.25">
      <c r="A39" s="250"/>
      <c r="B39" s="251"/>
      <c r="C39" s="57" t="s">
        <v>177</v>
      </c>
      <c r="D39" s="58">
        <v>20</v>
      </c>
      <c r="E39" s="58">
        <v>0</v>
      </c>
      <c r="F39" s="58">
        <f t="shared" si="0"/>
        <v>20</v>
      </c>
      <c r="G39" s="58">
        <v>0</v>
      </c>
      <c r="H39" s="58">
        <v>1</v>
      </c>
      <c r="I39" s="58">
        <v>0</v>
      </c>
      <c r="J39" s="58">
        <v>0</v>
      </c>
      <c r="K39" s="58"/>
      <c r="L39" s="58"/>
      <c r="M39" s="86"/>
      <c r="N39" s="255"/>
      <c r="O39" s="258"/>
      <c r="P39" s="261"/>
    </row>
    <row r="40" spans="1:16" x14ac:dyDescent="0.25">
      <c r="A40" s="250">
        <v>19</v>
      </c>
      <c r="B40" s="251" t="s">
        <v>200</v>
      </c>
      <c r="C40" s="59" t="s">
        <v>175</v>
      </c>
      <c r="D40" s="87">
        <v>0</v>
      </c>
      <c r="E40" s="162">
        <v>0</v>
      </c>
      <c r="F40" s="87">
        <f t="shared" si="0"/>
        <v>0</v>
      </c>
      <c r="G40" s="87">
        <v>0</v>
      </c>
      <c r="H40" s="87">
        <v>0</v>
      </c>
      <c r="I40" s="87">
        <f>H40-J40</f>
        <v>0</v>
      </c>
      <c r="J40" s="87">
        <v>0</v>
      </c>
      <c r="K40" s="87"/>
      <c r="L40" s="87"/>
      <c r="M40" s="86"/>
      <c r="N40" s="255"/>
      <c r="O40" s="258"/>
      <c r="P40" s="261"/>
    </row>
    <row r="41" spans="1:16" x14ac:dyDescent="0.25">
      <c r="A41" s="250"/>
      <c r="B41" s="251"/>
      <c r="C41" s="57" t="s">
        <v>177</v>
      </c>
      <c r="D41" s="58">
        <v>61</v>
      </c>
      <c r="E41" s="58">
        <v>0</v>
      </c>
      <c r="F41" s="58">
        <f t="shared" si="0"/>
        <v>61</v>
      </c>
      <c r="G41" s="58">
        <v>0</v>
      </c>
      <c r="H41" s="58">
        <v>1</v>
      </c>
      <c r="I41" s="58">
        <v>0</v>
      </c>
      <c r="J41" s="58">
        <v>0</v>
      </c>
      <c r="K41" s="58"/>
      <c r="L41" s="58"/>
      <c r="M41" s="86"/>
      <c r="N41" s="255"/>
      <c r="O41" s="258"/>
      <c r="P41" s="261"/>
    </row>
    <row r="42" spans="1:16" x14ac:dyDescent="0.25">
      <c r="A42" s="250">
        <v>20</v>
      </c>
      <c r="B42" s="251" t="s">
        <v>201</v>
      </c>
      <c r="C42" s="59" t="s">
        <v>175</v>
      </c>
      <c r="D42" s="87">
        <v>0</v>
      </c>
      <c r="E42" s="162">
        <v>0</v>
      </c>
      <c r="F42" s="87">
        <f t="shared" si="0"/>
        <v>0</v>
      </c>
      <c r="G42" s="87">
        <v>0</v>
      </c>
      <c r="H42" s="87">
        <v>0</v>
      </c>
      <c r="I42" s="87">
        <f>H42-J42</f>
        <v>0</v>
      </c>
      <c r="J42" s="87">
        <v>0</v>
      </c>
      <c r="K42" s="87"/>
      <c r="L42" s="87"/>
      <c r="M42" s="86"/>
      <c r="N42" s="255"/>
      <c r="O42" s="258"/>
      <c r="P42" s="261"/>
    </row>
    <row r="43" spans="1:16" x14ac:dyDescent="0.25">
      <c r="A43" s="250"/>
      <c r="B43" s="251"/>
      <c r="C43" s="57" t="s">
        <v>177</v>
      </c>
      <c r="D43" s="58">
        <v>29</v>
      </c>
      <c r="E43" s="58">
        <v>0</v>
      </c>
      <c r="F43" s="58">
        <f t="shared" si="0"/>
        <v>29</v>
      </c>
      <c r="G43" s="58">
        <v>0</v>
      </c>
      <c r="H43" s="58">
        <v>1</v>
      </c>
      <c r="I43" s="58">
        <v>0</v>
      </c>
      <c r="J43" s="58">
        <v>0</v>
      </c>
      <c r="K43" s="58"/>
      <c r="L43" s="58"/>
      <c r="M43" s="86"/>
      <c r="N43" s="255"/>
      <c r="O43" s="258"/>
      <c r="P43" s="261"/>
    </row>
    <row r="44" spans="1:16" x14ac:dyDescent="0.25">
      <c r="A44" s="250">
        <v>21</v>
      </c>
      <c r="B44" s="251" t="s">
        <v>202</v>
      </c>
      <c r="C44" s="59" t="s">
        <v>175</v>
      </c>
      <c r="D44" s="87">
        <v>0</v>
      </c>
      <c r="E44" s="162">
        <v>0</v>
      </c>
      <c r="F44" s="87">
        <f t="shared" si="0"/>
        <v>0</v>
      </c>
      <c r="G44" s="87">
        <v>0</v>
      </c>
      <c r="H44" s="87">
        <v>0</v>
      </c>
      <c r="I44" s="87">
        <f>H44-J44</f>
        <v>0</v>
      </c>
      <c r="J44" s="87">
        <v>0</v>
      </c>
      <c r="K44" s="87"/>
      <c r="L44" s="87"/>
      <c r="M44" s="86"/>
      <c r="N44" s="255"/>
      <c r="O44" s="258"/>
      <c r="P44" s="261"/>
    </row>
    <row r="45" spans="1:16" x14ac:dyDescent="0.25">
      <c r="A45" s="250"/>
      <c r="B45" s="251"/>
      <c r="C45" s="57" t="s">
        <v>177</v>
      </c>
      <c r="D45" s="58">
        <v>150</v>
      </c>
      <c r="E45" s="58">
        <v>0</v>
      </c>
      <c r="F45" s="58">
        <f t="shared" si="0"/>
        <v>150</v>
      </c>
      <c r="G45" s="58">
        <v>0</v>
      </c>
      <c r="H45" s="58">
        <v>1</v>
      </c>
      <c r="I45" s="58">
        <v>0</v>
      </c>
      <c r="J45" s="58">
        <v>0</v>
      </c>
      <c r="K45" s="58"/>
      <c r="L45" s="58"/>
      <c r="M45" s="86"/>
      <c r="N45" s="255"/>
      <c r="O45" s="258"/>
      <c r="P45" s="261"/>
    </row>
    <row r="46" spans="1:16" x14ac:dyDescent="0.25">
      <c r="A46" s="250">
        <v>22</v>
      </c>
      <c r="B46" s="251" t="s">
        <v>203</v>
      </c>
      <c r="C46" s="59" t="s">
        <v>175</v>
      </c>
      <c r="D46" s="87">
        <v>0</v>
      </c>
      <c r="E46" s="162">
        <v>0</v>
      </c>
      <c r="F46" s="87">
        <f t="shared" si="0"/>
        <v>0</v>
      </c>
      <c r="G46" s="87">
        <v>0</v>
      </c>
      <c r="H46" s="87">
        <v>0</v>
      </c>
      <c r="I46" s="87">
        <f>H46-J46</f>
        <v>0</v>
      </c>
      <c r="J46" s="87">
        <v>0</v>
      </c>
      <c r="K46" s="87"/>
      <c r="L46" s="87"/>
      <c r="M46" s="86"/>
      <c r="N46" s="255"/>
      <c r="O46" s="258"/>
      <c r="P46" s="261"/>
    </row>
    <row r="47" spans="1:16" x14ac:dyDescent="0.25">
      <c r="A47" s="250"/>
      <c r="B47" s="251"/>
      <c r="C47" s="57" t="s">
        <v>177</v>
      </c>
      <c r="D47" s="58">
        <v>27</v>
      </c>
      <c r="E47" s="58">
        <v>0</v>
      </c>
      <c r="F47" s="58">
        <f t="shared" si="0"/>
        <v>27</v>
      </c>
      <c r="G47" s="58">
        <v>0</v>
      </c>
      <c r="H47" s="58">
        <v>1</v>
      </c>
      <c r="I47" s="58">
        <v>0</v>
      </c>
      <c r="J47" s="58">
        <v>0</v>
      </c>
      <c r="K47" s="58"/>
      <c r="L47" s="58"/>
      <c r="M47" s="86"/>
      <c r="N47" s="255"/>
      <c r="O47" s="258"/>
      <c r="P47" s="261"/>
    </row>
    <row r="48" spans="1:16" x14ac:dyDescent="0.25">
      <c r="A48" s="250">
        <v>23</v>
      </c>
      <c r="B48" s="251" t="s">
        <v>204</v>
      </c>
      <c r="C48" s="59" t="s">
        <v>175</v>
      </c>
      <c r="D48" s="87">
        <v>0</v>
      </c>
      <c r="E48" s="162">
        <v>0</v>
      </c>
      <c r="F48" s="87">
        <f t="shared" si="0"/>
        <v>0</v>
      </c>
      <c r="G48" s="87">
        <v>0</v>
      </c>
      <c r="H48" s="87">
        <v>0</v>
      </c>
      <c r="I48" s="87">
        <f>H48-J48</f>
        <v>0</v>
      </c>
      <c r="J48" s="87">
        <v>0</v>
      </c>
      <c r="K48" s="87"/>
      <c r="L48" s="87"/>
      <c r="M48" s="86"/>
      <c r="N48" s="255"/>
      <c r="O48" s="258"/>
      <c r="P48" s="261"/>
    </row>
    <row r="49" spans="1:16" x14ac:dyDescent="0.25">
      <c r="A49" s="250"/>
      <c r="B49" s="251"/>
      <c r="C49" s="57" t="s">
        <v>177</v>
      </c>
      <c r="D49" s="58">
        <v>0</v>
      </c>
      <c r="E49" s="58">
        <v>0</v>
      </c>
      <c r="F49" s="58">
        <f t="shared" si="0"/>
        <v>0</v>
      </c>
      <c r="G49" s="58">
        <v>0</v>
      </c>
      <c r="H49" s="58">
        <v>0</v>
      </c>
      <c r="I49" s="58">
        <v>0</v>
      </c>
      <c r="J49" s="58">
        <v>0</v>
      </c>
      <c r="K49" s="58"/>
      <c r="L49" s="58"/>
      <c r="M49" s="86"/>
      <c r="N49" s="255"/>
      <c r="O49" s="258"/>
      <c r="P49" s="261"/>
    </row>
    <row r="50" spans="1:16" x14ac:dyDescent="0.25">
      <c r="A50" s="250">
        <v>24</v>
      </c>
      <c r="B50" s="251" t="s">
        <v>205</v>
      </c>
      <c r="C50" s="59" t="s">
        <v>175</v>
      </c>
      <c r="D50" s="87">
        <v>33</v>
      </c>
      <c r="E50" s="162">
        <v>24</v>
      </c>
      <c r="F50" s="87">
        <f t="shared" si="0"/>
        <v>9</v>
      </c>
      <c r="G50" s="87">
        <v>0</v>
      </c>
      <c r="H50" s="87">
        <v>5</v>
      </c>
      <c r="I50" s="87">
        <f>H50-J50</f>
        <v>5</v>
      </c>
      <c r="J50" s="87">
        <v>0</v>
      </c>
      <c r="K50" s="87">
        <v>147</v>
      </c>
      <c r="L50" s="87" t="s">
        <v>182</v>
      </c>
      <c r="M50" s="86"/>
      <c r="N50" s="255">
        <v>190.7</v>
      </c>
      <c r="O50" s="258">
        <v>50.2</v>
      </c>
      <c r="P50" s="261"/>
    </row>
    <row r="51" spans="1:16" x14ac:dyDescent="0.25">
      <c r="A51" s="250"/>
      <c r="B51" s="251"/>
      <c r="C51" s="57" t="s">
        <v>177</v>
      </c>
      <c r="D51" s="58">
        <v>61</v>
      </c>
      <c r="E51" s="58">
        <v>0</v>
      </c>
      <c r="F51" s="58">
        <f t="shared" si="0"/>
        <v>61</v>
      </c>
      <c r="G51" s="58">
        <v>0</v>
      </c>
      <c r="H51" s="58">
        <v>1</v>
      </c>
      <c r="I51" s="58">
        <v>0</v>
      </c>
      <c r="J51" s="58">
        <v>0</v>
      </c>
      <c r="K51" s="58"/>
      <c r="L51" s="58"/>
      <c r="M51" s="86"/>
      <c r="N51" s="255"/>
      <c r="O51" s="258"/>
      <c r="P51" s="261"/>
    </row>
    <row r="52" spans="1:16" x14ac:dyDescent="0.25">
      <c r="A52" s="250">
        <v>25</v>
      </c>
      <c r="B52" s="251" t="s">
        <v>206</v>
      </c>
      <c r="C52" s="59" t="s">
        <v>175</v>
      </c>
      <c r="D52" s="87">
        <v>97</v>
      </c>
      <c r="E52" s="162">
        <v>14</v>
      </c>
      <c r="F52" s="87">
        <f t="shared" si="0"/>
        <v>83</v>
      </c>
      <c r="G52" s="87">
        <v>0</v>
      </c>
      <c r="H52" s="87">
        <v>8</v>
      </c>
      <c r="I52" s="87">
        <f>H52-J52</f>
        <v>7</v>
      </c>
      <c r="J52" s="87">
        <v>1</v>
      </c>
      <c r="K52" s="87">
        <v>330</v>
      </c>
      <c r="L52" s="87" t="s">
        <v>182</v>
      </c>
      <c r="M52" s="86"/>
      <c r="N52" s="255">
        <v>342.5</v>
      </c>
      <c r="O52" s="258">
        <v>122.7</v>
      </c>
      <c r="P52" s="261"/>
    </row>
    <row r="53" spans="1:16" x14ac:dyDescent="0.25">
      <c r="A53" s="250"/>
      <c r="B53" s="251"/>
      <c r="C53" s="57" t="s">
        <v>177</v>
      </c>
      <c r="D53" s="58">
        <v>0</v>
      </c>
      <c r="E53" s="58">
        <v>0</v>
      </c>
      <c r="F53" s="58">
        <f t="shared" si="0"/>
        <v>0</v>
      </c>
      <c r="G53" s="58">
        <v>0</v>
      </c>
      <c r="H53" s="58">
        <v>0</v>
      </c>
      <c r="I53" s="58">
        <v>0</v>
      </c>
      <c r="J53" s="58">
        <v>0</v>
      </c>
      <c r="K53" s="58"/>
      <c r="L53" s="58"/>
      <c r="M53" s="86"/>
      <c r="N53" s="255"/>
      <c r="O53" s="258"/>
      <c r="P53" s="261"/>
    </row>
    <row r="54" spans="1:16" x14ac:dyDescent="0.25">
      <c r="A54" s="256"/>
      <c r="B54" s="257" t="s">
        <v>142</v>
      </c>
      <c r="C54" s="60" t="s">
        <v>175</v>
      </c>
      <c r="D54" s="89">
        <f>D4+D6+D8+D10+D12+D14+D16+D18+D20+D22+D24+D26+D28+D30+D32+D34+D36+D38+D40+D42+D44+D46+D48+D50+D52</f>
        <v>609</v>
      </c>
      <c r="E54" s="89">
        <f t="shared" ref="E54:K55" si="1">E4+E6+E8+E10+E12+E14+E16+E18+E20+E22+E24+E26+E28+E30+E32+E34+E36+E38+E40+E42+E44+E46+E48+E50+E52</f>
        <v>378</v>
      </c>
      <c r="F54" s="89">
        <f t="shared" si="1"/>
        <v>231</v>
      </c>
      <c r="G54" s="89">
        <f t="shared" si="1"/>
        <v>0</v>
      </c>
      <c r="H54" s="89">
        <f t="shared" si="1"/>
        <v>113</v>
      </c>
      <c r="I54" s="89">
        <f t="shared" si="1"/>
        <v>110</v>
      </c>
      <c r="J54" s="89">
        <f t="shared" si="1"/>
        <v>3</v>
      </c>
      <c r="K54" s="89">
        <f t="shared" si="1"/>
        <v>3700</v>
      </c>
      <c r="L54" s="87"/>
      <c r="M54" s="86"/>
      <c r="N54" s="262">
        <f>N4+N6+N8+N10+N12+N14+N16+N18+N20+N22+N24+N26+N28+N30+N32+N34+N36+N38+N40+N42+N44+N46+N48+N50+N52</f>
        <v>3345.4999999999995</v>
      </c>
      <c r="O54" s="263">
        <v>2106.8000000000002</v>
      </c>
      <c r="P54" s="268"/>
    </row>
    <row r="55" spans="1:16" x14ac:dyDescent="0.25">
      <c r="A55" s="256"/>
      <c r="B55" s="257"/>
      <c r="C55" s="61" t="s">
        <v>177</v>
      </c>
      <c r="D55" s="62">
        <f>D5+D7+D9+D11+D13+D15+D17+D19+D21+D23+D25+D27+D29+D31+D33+D35+D37+D39+D41+D43+D45+D47+D49+D51+D53</f>
        <v>412</v>
      </c>
      <c r="E55" s="62">
        <f t="shared" si="1"/>
        <v>0</v>
      </c>
      <c r="F55" s="62">
        <f t="shared" si="1"/>
        <v>412</v>
      </c>
      <c r="G55" s="62">
        <f t="shared" si="1"/>
        <v>0</v>
      </c>
      <c r="H55" s="62">
        <f t="shared" si="1"/>
        <v>8</v>
      </c>
      <c r="I55" s="62">
        <f t="shared" si="1"/>
        <v>0</v>
      </c>
      <c r="J55" s="62">
        <f t="shared" si="1"/>
        <v>0</v>
      </c>
      <c r="K55" s="62"/>
      <c r="L55" s="58"/>
      <c r="M55" s="86"/>
      <c r="N55" s="262"/>
      <c r="O55" s="263"/>
      <c r="P55" s="268"/>
    </row>
    <row r="56" spans="1:16" ht="60.75" thickBot="1" x14ac:dyDescent="0.3">
      <c r="A56" s="92">
        <v>26</v>
      </c>
      <c r="B56" s="93" t="s">
        <v>311</v>
      </c>
      <c r="C56" s="94" t="s">
        <v>207</v>
      </c>
      <c r="D56" s="95"/>
      <c r="E56" s="95"/>
      <c r="F56" s="95"/>
      <c r="G56" s="95"/>
      <c r="H56" s="95">
        <v>1</v>
      </c>
      <c r="I56" s="95">
        <v>1</v>
      </c>
      <c r="J56" s="95">
        <v>0</v>
      </c>
      <c r="K56" s="96">
        <v>90</v>
      </c>
      <c r="L56" s="95" t="s">
        <v>197</v>
      </c>
      <c r="M56" s="93"/>
      <c r="N56" s="97">
        <v>99.6</v>
      </c>
      <c r="O56" s="191">
        <v>53.3</v>
      </c>
      <c r="P56" s="105" t="s">
        <v>465</v>
      </c>
    </row>
    <row r="57" spans="1:16" x14ac:dyDescent="0.25">
      <c r="O57" s="189"/>
    </row>
    <row r="58" spans="1:16" x14ac:dyDescent="0.25">
      <c r="A58" s="253" t="s">
        <v>208</v>
      </c>
      <c r="B58" s="253"/>
      <c r="C58" t="s">
        <v>209</v>
      </c>
    </row>
  </sheetData>
  <autoFilter ref="A3:P56"/>
  <mergeCells count="133">
    <mergeCell ref="P48:P49"/>
    <mergeCell ref="P50:P51"/>
    <mergeCell ref="P52:P53"/>
    <mergeCell ref="P54:P55"/>
    <mergeCell ref="P38:P39"/>
    <mergeCell ref="P40:P41"/>
    <mergeCell ref="P42:P43"/>
    <mergeCell ref="P44:P45"/>
    <mergeCell ref="P46:P47"/>
    <mergeCell ref="P28:P29"/>
    <mergeCell ref="P30:P31"/>
    <mergeCell ref="P32:P33"/>
    <mergeCell ref="P34:P35"/>
    <mergeCell ref="P36:P37"/>
    <mergeCell ref="N54:N55"/>
    <mergeCell ref="O54:O55"/>
    <mergeCell ref="A1:O1"/>
    <mergeCell ref="P4:P5"/>
    <mergeCell ref="P6:P7"/>
    <mergeCell ref="P8:P9"/>
    <mergeCell ref="P10:P11"/>
    <mergeCell ref="P12:P13"/>
    <mergeCell ref="P14:P15"/>
    <mergeCell ref="P16:P17"/>
    <mergeCell ref="P18:P19"/>
    <mergeCell ref="P20:P21"/>
    <mergeCell ref="P22:P23"/>
    <mergeCell ref="P24:P25"/>
    <mergeCell ref="P26:P27"/>
    <mergeCell ref="O44:O45"/>
    <mergeCell ref="O46:O47"/>
    <mergeCell ref="O48:O49"/>
    <mergeCell ref="O50:O51"/>
    <mergeCell ref="O52:O53"/>
    <mergeCell ref="O34:O35"/>
    <mergeCell ref="O36:O37"/>
    <mergeCell ref="O38:O39"/>
    <mergeCell ref="O40:O41"/>
    <mergeCell ref="O42:O43"/>
    <mergeCell ref="O24:O25"/>
    <mergeCell ref="O26:O27"/>
    <mergeCell ref="O28:O29"/>
    <mergeCell ref="O30:O31"/>
    <mergeCell ref="O32:O33"/>
    <mergeCell ref="O14:O15"/>
    <mergeCell ref="O16:O17"/>
    <mergeCell ref="O18:O19"/>
    <mergeCell ref="O20:O21"/>
    <mergeCell ref="O22:O23"/>
    <mergeCell ref="O4:O5"/>
    <mergeCell ref="O6:O7"/>
    <mergeCell ref="O8:O9"/>
    <mergeCell ref="O10:O11"/>
    <mergeCell ref="O12:O13"/>
    <mergeCell ref="N44:N45"/>
    <mergeCell ref="N46:N47"/>
    <mergeCell ref="N48:N49"/>
    <mergeCell ref="N50:N51"/>
    <mergeCell ref="N52:N53"/>
    <mergeCell ref="N34:N35"/>
    <mergeCell ref="N36:N37"/>
    <mergeCell ref="N38:N39"/>
    <mergeCell ref="N40:N41"/>
    <mergeCell ref="N42:N43"/>
    <mergeCell ref="N24:N25"/>
    <mergeCell ref="N26:N27"/>
    <mergeCell ref="N28:N29"/>
    <mergeCell ref="N30:N31"/>
    <mergeCell ref="N32:N33"/>
    <mergeCell ref="N14:N15"/>
    <mergeCell ref="N16:N17"/>
    <mergeCell ref="N18:N19"/>
    <mergeCell ref="N20:N21"/>
    <mergeCell ref="N22:N23"/>
    <mergeCell ref="N4:N5"/>
    <mergeCell ref="N6:N7"/>
    <mergeCell ref="N8:N9"/>
    <mergeCell ref="N10:N11"/>
    <mergeCell ref="N12:N13"/>
    <mergeCell ref="A52:A53"/>
    <mergeCell ref="B52:B53"/>
    <mergeCell ref="A54:A55"/>
    <mergeCell ref="B54:B55"/>
    <mergeCell ref="A34:A35"/>
    <mergeCell ref="B34:B35"/>
    <mergeCell ref="A36:A37"/>
    <mergeCell ref="B36:B37"/>
    <mergeCell ref="A38:A39"/>
    <mergeCell ref="B38:B39"/>
    <mergeCell ref="A28:A29"/>
    <mergeCell ref="B28:B29"/>
    <mergeCell ref="A30:A31"/>
    <mergeCell ref="B30:B31"/>
    <mergeCell ref="A32:A33"/>
    <mergeCell ref="B32:B33"/>
    <mergeCell ref="A22:A23"/>
    <mergeCell ref="B22:B23"/>
    <mergeCell ref="A24:A25"/>
    <mergeCell ref="A58:B58"/>
    <mergeCell ref="A46:A47"/>
    <mergeCell ref="B46:B47"/>
    <mergeCell ref="A48:A49"/>
    <mergeCell ref="B48:B49"/>
    <mergeCell ref="A50:A51"/>
    <mergeCell ref="B50:B51"/>
    <mergeCell ref="A40:A41"/>
    <mergeCell ref="B40:B41"/>
    <mergeCell ref="A42:A43"/>
    <mergeCell ref="B42:B43"/>
    <mergeCell ref="A44:A45"/>
    <mergeCell ref="B44:B45"/>
    <mergeCell ref="A4:A5"/>
    <mergeCell ref="B4:B5"/>
    <mergeCell ref="A6:A7"/>
    <mergeCell ref="B6:B7"/>
    <mergeCell ref="B24:B25"/>
    <mergeCell ref="A26:A27"/>
    <mergeCell ref="B26:B27"/>
    <mergeCell ref="A16:A17"/>
    <mergeCell ref="B16:B17"/>
    <mergeCell ref="A18:A19"/>
    <mergeCell ref="B18:B19"/>
    <mergeCell ref="A20:A21"/>
    <mergeCell ref="B20:B21"/>
    <mergeCell ref="M16:M17"/>
    <mergeCell ref="A10:A11"/>
    <mergeCell ref="B10:B11"/>
    <mergeCell ref="A12:A13"/>
    <mergeCell ref="B12:B13"/>
    <mergeCell ref="A14:A15"/>
    <mergeCell ref="B14:B15"/>
    <mergeCell ref="A8:A9"/>
    <mergeCell ref="B8:B9"/>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66"/>
  <sheetViews>
    <sheetView topLeftCell="A26" zoomScale="90" zoomScaleNormal="90" workbookViewId="0">
      <selection activeCell="D82" sqref="D82"/>
    </sheetView>
  </sheetViews>
  <sheetFormatPr defaultRowHeight="15" x14ac:dyDescent="0.25"/>
  <cols>
    <col min="1" max="1" width="6.42578125" customWidth="1"/>
    <col min="3" max="3" width="45.42578125" style="111" customWidth="1"/>
    <col min="4" max="4" width="28.5703125" customWidth="1"/>
    <col min="5" max="5" width="26" customWidth="1"/>
    <col min="6" max="6" width="33.85546875" customWidth="1"/>
  </cols>
  <sheetData>
    <row r="1" spans="1:6" ht="18.75" x14ac:dyDescent="0.3">
      <c r="A1" s="264" t="s">
        <v>513</v>
      </c>
      <c r="B1" s="264"/>
      <c r="C1" s="264"/>
      <c r="D1" s="264"/>
      <c r="E1" s="264"/>
      <c r="F1" s="264"/>
    </row>
    <row r="2" spans="1:6" x14ac:dyDescent="0.25">
      <c r="A2" s="69"/>
    </row>
    <row r="3" spans="1:6" ht="18.75" x14ac:dyDescent="0.3">
      <c r="A3" s="70" t="s">
        <v>210</v>
      </c>
    </row>
    <row r="4" spans="1:6" ht="19.5" customHeight="1" x14ac:dyDescent="0.25">
      <c r="A4" s="64" t="s">
        <v>211</v>
      </c>
      <c r="B4" s="64" t="s">
        <v>212</v>
      </c>
      <c r="C4" s="64" t="s">
        <v>213</v>
      </c>
      <c r="D4" s="64" t="s">
        <v>214</v>
      </c>
      <c r="E4" s="64" t="s">
        <v>15</v>
      </c>
      <c r="F4" s="71" t="s">
        <v>312</v>
      </c>
    </row>
    <row r="5" spans="1:6" ht="46.5" hidden="1" customHeight="1" x14ac:dyDescent="0.25">
      <c r="A5" s="65">
        <v>1</v>
      </c>
      <c r="B5" s="251" t="s">
        <v>174</v>
      </c>
      <c r="C5" s="112" t="s">
        <v>215</v>
      </c>
      <c r="D5" s="72" t="s">
        <v>216</v>
      </c>
      <c r="E5" s="56"/>
      <c r="F5" s="72" t="s">
        <v>274</v>
      </c>
    </row>
    <row r="6" spans="1:6" ht="55.5" hidden="1" customHeight="1" x14ac:dyDescent="0.25">
      <c r="A6" s="65">
        <f t="shared" ref="A6:A48" si="0">A5+1</f>
        <v>2</v>
      </c>
      <c r="B6" s="251"/>
      <c r="C6" s="112" t="s">
        <v>217</v>
      </c>
      <c r="D6" s="272" t="s">
        <v>218</v>
      </c>
      <c r="E6" s="72" t="s">
        <v>219</v>
      </c>
      <c r="F6" s="72" t="s">
        <v>275</v>
      </c>
    </row>
    <row r="7" spans="1:6" ht="49.5" hidden="1" customHeight="1" x14ac:dyDescent="0.25">
      <c r="A7" s="65">
        <f t="shared" si="0"/>
        <v>3</v>
      </c>
      <c r="B7" s="275" t="s">
        <v>195</v>
      </c>
      <c r="C7" s="112" t="s">
        <v>220</v>
      </c>
      <c r="D7" s="273"/>
      <c r="E7" s="72"/>
      <c r="F7" s="72" t="s">
        <v>275</v>
      </c>
    </row>
    <row r="8" spans="1:6" ht="19.899999999999999" customHeight="1" x14ac:dyDescent="0.25">
      <c r="A8" s="87">
        <f t="shared" si="0"/>
        <v>4</v>
      </c>
      <c r="B8" s="274"/>
      <c r="C8" s="112" t="s">
        <v>319</v>
      </c>
      <c r="D8" s="91"/>
      <c r="E8" s="72"/>
      <c r="F8" s="269" t="s">
        <v>504</v>
      </c>
    </row>
    <row r="9" spans="1:6" ht="19.899999999999999" customHeight="1" x14ac:dyDescent="0.25">
      <c r="A9" s="87">
        <f t="shared" si="0"/>
        <v>5</v>
      </c>
      <c r="B9" s="274"/>
      <c r="C9" s="112" t="s">
        <v>320</v>
      </c>
      <c r="D9" s="91"/>
      <c r="E9" s="72"/>
      <c r="F9" s="270"/>
    </row>
    <row r="10" spans="1:6" ht="19.899999999999999" customHeight="1" x14ac:dyDescent="0.25">
      <c r="A10" s="87">
        <f t="shared" si="0"/>
        <v>6</v>
      </c>
      <c r="B10" s="274"/>
      <c r="C10" s="112" t="s">
        <v>321</v>
      </c>
      <c r="D10" s="91"/>
      <c r="E10" s="72"/>
      <c r="F10" s="270"/>
    </row>
    <row r="11" spans="1:6" ht="19.899999999999999" customHeight="1" x14ac:dyDescent="0.25">
      <c r="A11" s="87">
        <f t="shared" si="0"/>
        <v>7</v>
      </c>
      <c r="B11" s="274"/>
      <c r="C11" s="112" t="s">
        <v>322</v>
      </c>
      <c r="D11" s="91"/>
      <c r="E11" s="72"/>
      <c r="F11" s="270"/>
    </row>
    <row r="12" spans="1:6" ht="19.899999999999999" customHeight="1" x14ac:dyDescent="0.25">
      <c r="A12" s="87">
        <f t="shared" si="0"/>
        <v>8</v>
      </c>
      <c r="B12" s="252"/>
      <c r="C12" s="112" t="s">
        <v>323</v>
      </c>
      <c r="D12" s="91"/>
      <c r="E12" s="72"/>
      <c r="F12" s="271"/>
    </row>
    <row r="13" spans="1:6" ht="79.5" hidden="1" customHeight="1" x14ac:dyDescent="0.25">
      <c r="A13" s="65">
        <f>A7+1</f>
        <v>4</v>
      </c>
      <c r="B13" s="67" t="s">
        <v>180</v>
      </c>
      <c r="C13" s="112" t="s">
        <v>221</v>
      </c>
      <c r="D13" s="72" t="s">
        <v>222</v>
      </c>
      <c r="E13" s="72" t="s">
        <v>223</v>
      </c>
      <c r="F13" s="72" t="s">
        <v>274</v>
      </c>
    </row>
    <row r="14" spans="1:6" ht="95.25" hidden="1" customHeight="1" x14ac:dyDescent="0.25">
      <c r="A14" s="65">
        <f t="shared" si="0"/>
        <v>5</v>
      </c>
      <c r="B14" s="275" t="s">
        <v>183</v>
      </c>
      <c r="C14" s="112" t="s">
        <v>224</v>
      </c>
      <c r="D14" s="72" t="s">
        <v>225</v>
      </c>
      <c r="E14" s="65"/>
      <c r="F14" s="72" t="s">
        <v>276</v>
      </c>
    </row>
    <row r="15" spans="1:6" ht="60.75" hidden="1" customHeight="1" x14ac:dyDescent="0.25">
      <c r="A15" s="68">
        <f t="shared" si="0"/>
        <v>6</v>
      </c>
      <c r="B15" s="252"/>
      <c r="C15" s="113" t="s">
        <v>226</v>
      </c>
      <c r="D15" s="73" t="s">
        <v>227</v>
      </c>
      <c r="E15" s="74" t="s">
        <v>228</v>
      </c>
      <c r="F15" s="150" t="s">
        <v>336</v>
      </c>
    </row>
    <row r="16" spans="1:6" hidden="1" x14ac:dyDescent="0.25">
      <c r="A16" s="68">
        <f t="shared" si="0"/>
        <v>7</v>
      </c>
      <c r="B16" s="251" t="s">
        <v>194</v>
      </c>
      <c r="C16" s="113" t="s">
        <v>229</v>
      </c>
      <c r="D16" s="269" t="s">
        <v>230</v>
      </c>
      <c r="E16" s="56"/>
      <c r="F16" s="150" t="s">
        <v>336</v>
      </c>
    </row>
    <row r="17" spans="1:6" hidden="1" x14ac:dyDescent="0.25">
      <c r="A17" s="68">
        <f t="shared" si="0"/>
        <v>8</v>
      </c>
      <c r="B17" s="251"/>
      <c r="C17" s="113" t="s">
        <v>231</v>
      </c>
      <c r="D17" s="270"/>
      <c r="E17" s="56"/>
      <c r="F17" s="150" t="s">
        <v>336</v>
      </c>
    </row>
    <row r="18" spans="1:6" hidden="1" x14ac:dyDescent="0.25">
      <c r="A18" s="68">
        <f t="shared" si="0"/>
        <v>9</v>
      </c>
      <c r="B18" s="251"/>
      <c r="C18" s="113" t="s">
        <v>232</v>
      </c>
      <c r="D18" s="270"/>
      <c r="E18" s="56"/>
      <c r="F18" s="150" t="s">
        <v>336</v>
      </c>
    </row>
    <row r="19" spans="1:6" hidden="1" x14ac:dyDescent="0.25">
      <c r="A19" s="68">
        <f t="shared" si="0"/>
        <v>10</v>
      </c>
      <c r="B19" s="251"/>
      <c r="C19" s="113" t="s">
        <v>233</v>
      </c>
      <c r="D19" s="270"/>
      <c r="E19" s="56"/>
      <c r="F19" s="150" t="s">
        <v>336</v>
      </c>
    </row>
    <row r="20" spans="1:6" hidden="1" x14ac:dyDescent="0.25">
      <c r="A20" s="68">
        <f t="shared" si="0"/>
        <v>11</v>
      </c>
      <c r="B20" s="251"/>
      <c r="C20" s="113" t="s">
        <v>234</v>
      </c>
      <c r="D20" s="270"/>
      <c r="E20" s="56"/>
      <c r="F20" s="150" t="s">
        <v>336</v>
      </c>
    </row>
    <row r="21" spans="1:6" hidden="1" x14ac:dyDescent="0.25">
      <c r="A21" s="68">
        <f t="shared" si="0"/>
        <v>12</v>
      </c>
      <c r="B21" s="251"/>
      <c r="C21" s="113" t="s">
        <v>235</v>
      </c>
      <c r="D21" s="270"/>
      <c r="E21" s="56"/>
      <c r="F21" s="150" t="s">
        <v>336</v>
      </c>
    </row>
    <row r="22" spans="1:6" hidden="1" x14ac:dyDescent="0.25">
      <c r="A22" s="68">
        <f t="shared" si="0"/>
        <v>13</v>
      </c>
      <c r="B22" s="251"/>
      <c r="C22" s="113" t="s">
        <v>236</v>
      </c>
      <c r="D22" s="270"/>
      <c r="E22" s="56"/>
      <c r="F22" s="150" t="s">
        <v>336</v>
      </c>
    </row>
    <row r="23" spans="1:6" hidden="1" x14ac:dyDescent="0.25">
      <c r="A23" s="68">
        <f t="shared" si="0"/>
        <v>14</v>
      </c>
      <c r="B23" s="251"/>
      <c r="C23" s="113" t="s">
        <v>237</v>
      </c>
      <c r="D23" s="270"/>
      <c r="E23" s="56"/>
      <c r="F23" s="150" t="s">
        <v>336</v>
      </c>
    </row>
    <row r="24" spans="1:6" hidden="1" x14ac:dyDescent="0.25">
      <c r="A24" s="68">
        <f t="shared" si="0"/>
        <v>15</v>
      </c>
      <c r="B24" s="251"/>
      <c r="C24" s="113" t="s">
        <v>238</v>
      </c>
      <c r="D24" s="271"/>
      <c r="E24" s="56"/>
      <c r="F24" s="150" t="s">
        <v>336</v>
      </c>
    </row>
    <row r="25" spans="1:6" ht="32.25" customHeight="1" x14ac:dyDescent="0.25">
      <c r="A25" s="65">
        <f t="shared" si="0"/>
        <v>16</v>
      </c>
      <c r="B25" s="275" t="s">
        <v>196</v>
      </c>
      <c r="C25" s="113" t="s">
        <v>239</v>
      </c>
      <c r="D25" s="269" t="s">
        <v>324</v>
      </c>
      <c r="E25" s="56"/>
      <c r="F25" s="269" t="s">
        <v>504</v>
      </c>
    </row>
    <row r="26" spans="1:6" ht="32.25" customHeight="1" x14ac:dyDescent="0.25">
      <c r="A26" s="65">
        <f t="shared" si="0"/>
        <v>17</v>
      </c>
      <c r="B26" s="274"/>
      <c r="C26" s="113" t="s">
        <v>240</v>
      </c>
      <c r="D26" s="270"/>
      <c r="E26" s="56"/>
      <c r="F26" s="270"/>
    </row>
    <row r="27" spans="1:6" ht="32.25" customHeight="1" x14ac:dyDescent="0.25">
      <c r="A27" s="65">
        <f t="shared" si="0"/>
        <v>18</v>
      </c>
      <c r="B27" s="274"/>
      <c r="C27" s="113" t="s">
        <v>241</v>
      </c>
      <c r="D27" s="270"/>
      <c r="E27" s="56"/>
      <c r="F27" s="270"/>
    </row>
    <row r="28" spans="1:6" ht="32.25" customHeight="1" x14ac:dyDescent="0.25">
      <c r="A28" s="65">
        <f t="shared" si="0"/>
        <v>19</v>
      </c>
      <c r="B28" s="274"/>
      <c r="C28" s="113" t="s">
        <v>242</v>
      </c>
      <c r="D28" s="270"/>
      <c r="E28" s="56"/>
      <c r="F28" s="270"/>
    </row>
    <row r="29" spans="1:6" ht="29.25" customHeight="1" x14ac:dyDescent="0.25">
      <c r="A29" s="87">
        <f t="shared" si="0"/>
        <v>20</v>
      </c>
      <c r="B29" s="274"/>
      <c r="C29" s="113" t="s">
        <v>247</v>
      </c>
      <c r="D29" s="271"/>
      <c r="E29" s="56"/>
      <c r="F29" s="271"/>
    </row>
    <row r="30" spans="1:6" ht="46.5" hidden="1" customHeight="1" x14ac:dyDescent="0.25">
      <c r="A30" s="65">
        <f>A28+1</f>
        <v>20</v>
      </c>
      <c r="B30" s="274"/>
      <c r="C30" s="113" t="s">
        <v>243</v>
      </c>
      <c r="D30" s="72" t="s">
        <v>244</v>
      </c>
      <c r="E30" s="56"/>
      <c r="F30" s="72" t="s">
        <v>277</v>
      </c>
    </row>
    <row r="31" spans="1:6" ht="29.25" hidden="1" customHeight="1" x14ac:dyDescent="0.25">
      <c r="A31" s="65">
        <f t="shared" si="0"/>
        <v>21</v>
      </c>
      <c r="B31" s="274"/>
      <c r="C31" s="113" t="s">
        <v>245</v>
      </c>
      <c r="D31" s="269" t="s">
        <v>246</v>
      </c>
      <c r="E31" s="56"/>
      <c r="F31" s="269" t="s">
        <v>278</v>
      </c>
    </row>
    <row r="32" spans="1:6" ht="29.25" hidden="1" customHeight="1" x14ac:dyDescent="0.25">
      <c r="A32" s="65">
        <f t="shared" si="0"/>
        <v>22</v>
      </c>
      <c r="B32" s="274"/>
      <c r="C32" s="113" t="s">
        <v>247</v>
      </c>
      <c r="D32" s="270"/>
      <c r="E32" s="56"/>
      <c r="F32" s="270"/>
    </row>
    <row r="33" spans="1:6" ht="29.25" hidden="1" customHeight="1" x14ac:dyDescent="0.25">
      <c r="A33" s="65">
        <f t="shared" si="0"/>
        <v>23</v>
      </c>
      <c r="B33" s="274"/>
      <c r="C33" s="113" t="s">
        <v>248</v>
      </c>
      <c r="D33" s="270"/>
      <c r="E33" s="56"/>
      <c r="F33" s="270"/>
    </row>
    <row r="34" spans="1:6" ht="29.25" hidden="1" customHeight="1" x14ac:dyDescent="0.25">
      <c r="A34" s="65">
        <f t="shared" si="0"/>
        <v>24</v>
      </c>
      <c r="B34" s="252"/>
      <c r="C34" s="113" t="s">
        <v>249</v>
      </c>
      <c r="D34" s="271"/>
      <c r="E34" s="56"/>
      <c r="F34" s="271"/>
    </row>
    <row r="35" spans="1:6" ht="46.5" hidden="1" customHeight="1" x14ac:dyDescent="0.25">
      <c r="A35" s="65">
        <f t="shared" si="0"/>
        <v>25</v>
      </c>
      <c r="B35" s="65" t="s">
        <v>205</v>
      </c>
      <c r="C35" s="112" t="s">
        <v>250</v>
      </c>
      <c r="D35" s="72" t="s">
        <v>251</v>
      </c>
      <c r="E35" s="56"/>
      <c r="F35" s="72" t="s">
        <v>279</v>
      </c>
    </row>
    <row r="36" spans="1:6" x14ac:dyDescent="0.25">
      <c r="A36" s="65">
        <f t="shared" si="0"/>
        <v>26</v>
      </c>
      <c r="B36" s="275" t="s">
        <v>206</v>
      </c>
      <c r="C36" s="112" t="s">
        <v>252</v>
      </c>
      <c r="D36" s="276" t="s">
        <v>337</v>
      </c>
      <c r="E36" s="56"/>
      <c r="F36" s="269" t="s">
        <v>505</v>
      </c>
    </row>
    <row r="37" spans="1:6" x14ac:dyDescent="0.25">
      <c r="A37" s="65">
        <f t="shared" si="0"/>
        <v>27</v>
      </c>
      <c r="B37" s="274"/>
      <c r="C37" s="112" t="s">
        <v>253</v>
      </c>
      <c r="D37" s="277"/>
      <c r="E37" s="56"/>
      <c r="F37" s="270"/>
    </row>
    <row r="38" spans="1:6" x14ac:dyDescent="0.25">
      <c r="A38" s="65">
        <f t="shared" si="0"/>
        <v>28</v>
      </c>
      <c r="B38" s="274"/>
      <c r="C38" s="112" t="s">
        <v>254</v>
      </c>
      <c r="D38" s="277"/>
      <c r="E38" s="56"/>
      <c r="F38" s="270"/>
    </row>
    <row r="39" spans="1:6" x14ac:dyDescent="0.25">
      <c r="A39" s="65">
        <f t="shared" si="0"/>
        <v>29</v>
      </c>
      <c r="B39" s="274"/>
      <c r="C39" s="112" t="s">
        <v>255</v>
      </c>
      <c r="D39" s="277"/>
      <c r="E39" s="56"/>
      <c r="F39" s="270"/>
    </row>
    <row r="40" spans="1:6" x14ac:dyDescent="0.25">
      <c r="A40" s="65">
        <f t="shared" si="0"/>
        <v>30</v>
      </c>
      <c r="B40" s="274"/>
      <c r="C40" s="112" t="s">
        <v>256</v>
      </c>
      <c r="D40" s="277"/>
      <c r="E40" s="56"/>
      <c r="F40" s="270"/>
    </row>
    <row r="41" spans="1:6" x14ac:dyDescent="0.25">
      <c r="A41" s="65">
        <f t="shared" si="0"/>
        <v>31</v>
      </c>
      <c r="B41" s="274"/>
      <c r="C41" s="113" t="s">
        <v>257</v>
      </c>
      <c r="D41" s="277"/>
      <c r="E41" s="56"/>
      <c r="F41" s="270"/>
    </row>
    <row r="42" spans="1:6" x14ac:dyDescent="0.25">
      <c r="A42" s="65">
        <f t="shared" si="0"/>
        <v>32</v>
      </c>
      <c r="B42" s="274"/>
      <c r="C42" s="113" t="s">
        <v>258</v>
      </c>
      <c r="D42" s="277"/>
      <c r="E42" s="56"/>
      <c r="F42" s="270"/>
    </row>
    <row r="43" spans="1:6" x14ac:dyDescent="0.25">
      <c r="A43" s="65">
        <f t="shared" si="0"/>
        <v>33</v>
      </c>
      <c r="B43" s="252"/>
      <c r="C43" s="113" t="s">
        <v>259</v>
      </c>
      <c r="D43" s="278"/>
      <c r="E43" s="56"/>
      <c r="F43" s="271"/>
    </row>
    <row r="44" spans="1:6" hidden="1" x14ac:dyDescent="0.25">
      <c r="A44" s="65">
        <f t="shared" si="0"/>
        <v>34</v>
      </c>
      <c r="B44" s="269" t="s">
        <v>260</v>
      </c>
      <c r="C44" s="112" t="s">
        <v>261</v>
      </c>
      <c r="D44" s="269" t="s">
        <v>262</v>
      </c>
      <c r="E44" s="269" t="s">
        <v>263</v>
      </c>
      <c r="F44" s="269" t="s">
        <v>280</v>
      </c>
    </row>
    <row r="45" spans="1:6" hidden="1" x14ac:dyDescent="0.25">
      <c r="A45" s="65">
        <f t="shared" si="0"/>
        <v>35</v>
      </c>
      <c r="B45" s="270"/>
      <c r="C45" s="112" t="s">
        <v>264</v>
      </c>
      <c r="D45" s="274"/>
      <c r="E45" s="270"/>
      <c r="F45" s="270"/>
    </row>
    <row r="46" spans="1:6" hidden="1" x14ac:dyDescent="0.25">
      <c r="A46" s="65">
        <f t="shared" si="0"/>
        <v>36</v>
      </c>
      <c r="B46" s="270"/>
      <c r="C46" s="112" t="s">
        <v>265</v>
      </c>
      <c r="D46" s="274"/>
      <c r="E46" s="270"/>
      <c r="F46" s="270"/>
    </row>
    <row r="47" spans="1:6" ht="48.75" hidden="1" customHeight="1" x14ac:dyDescent="0.25">
      <c r="A47" s="65">
        <f t="shared" si="0"/>
        <v>37</v>
      </c>
      <c r="B47" s="270"/>
      <c r="C47" s="112" t="s">
        <v>266</v>
      </c>
      <c r="D47" s="274"/>
      <c r="E47" s="270"/>
      <c r="F47" s="270"/>
    </row>
    <row r="48" spans="1:6" ht="48.75" hidden="1" customHeight="1" x14ac:dyDescent="0.25">
      <c r="A48" s="65">
        <f t="shared" si="0"/>
        <v>38</v>
      </c>
      <c r="B48" s="271"/>
      <c r="C48" s="112" t="s">
        <v>267</v>
      </c>
      <c r="D48" s="252"/>
      <c r="E48" s="271"/>
      <c r="F48" s="271"/>
    </row>
    <row r="50" spans="1:6" x14ac:dyDescent="0.25">
      <c r="A50" s="69" t="s">
        <v>268</v>
      </c>
      <c r="B50" t="s">
        <v>269</v>
      </c>
    </row>
    <row r="52" spans="1:6" x14ac:dyDescent="0.25">
      <c r="A52" s="75" t="s">
        <v>281</v>
      </c>
    </row>
    <row r="53" spans="1:6" ht="15.75" x14ac:dyDescent="0.25">
      <c r="A53" s="64" t="s">
        <v>211</v>
      </c>
      <c r="B53" s="64" t="s">
        <v>212</v>
      </c>
      <c r="C53" s="64" t="s">
        <v>213</v>
      </c>
      <c r="D53" s="64" t="s">
        <v>214</v>
      </c>
      <c r="E53" s="64" t="s">
        <v>15</v>
      </c>
      <c r="F53" s="71" t="s">
        <v>273</v>
      </c>
    </row>
    <row r="54" spans="1:6" s="63" customFormat="1" ht="51" customHeight="1" x14ac:dyDescent="0.25">
      <c r="A54" s="65">
        <v>1</v>
      </c>
      <c r="B54" s="251" t="s">
        <v>205</v>
      </c>
      <c r="C54" s="110" t="s">
        <v>282</v>
      </c>
      <c r="D54" s="72" t="s">
        <v>283</v>
      </c>
      <c r="E54" s="72" t="s">
        <v>284</v>
      </c>
      <c r="F54" s="269" t="s">
        <v>509</v>
      </c>
    </row>
    <row r="55" spans="1:6" s="63" customFormat="1" ht="35.25" customHeight="1" x14ac:dyDescent="0.25">
      <c r="A55" s="65">
        <v>2</v>
      </c>
      <c r="B55" s="251"/>
      <c r="C55" s="110" t="s">
        <v>285</v>
      </c>
      <c r="D55" s="269" t="s">
        <v>286</v>
      </c>
      <c r="E55" s="72" t="s">
        <v>284</v>
      </c>
      <c r="F55" s="270"/>
    </row>
    <row r="56" spans="1:6" ht="36" customHeight="1" x14ac:dyDescent="0.25">
      <c r="A56" s="65">
        <v>3</v>
      </c>
      <c r="B56" s="251"/>
      <c r="C56" s="110" t="s">
        <v>287</v>
      </c>
      <c r="D56" s="270"/>
      <c r="E56" s="56"/>
      <c r="F56" s="270"/>
    </row>
    <row r="57" spans="1:6" ht="35.25" customHeight="1" x14ac:dyDescent="0.25">
      <c r="A57" s="66">
        <v>4</v>
      </c>
      <c r="B57" s="251"/>
      <c r="C57" s="110" t="s">
        <v>288</v>
      </c>
      <c r="D57" s="271"/>
      <c r="E57" s="56"/>
      <c r="F57" s="271"/>
    </row>
    <row r="58" spans="1:6" ht="17.25" customHeight="1" x14ac:dyDescent="0.25">
      <c r="A58" s="167">
        <v>1</v>
      </c>
      <c r="B58" s="251" t="s">
        <v>194</v>
      </c>
      <c r="C58" s="167" t="s">
        <v>229</v>
      </c>
      <c r="D58" s="269" t="s">
        <v>367</v>
      </c>
      <c r="E58" s="72"/>
      <c r="F58" s="270" t="s">
        <v>506</v>
      </c>
    </row>
    <row r="59" spans="1:6" ht="17.25" customHeight="1" x14ac:dyDescent="0.25">
      <c r="A59" s="167">
        <v>2</v>
      </c>
      <c r="B59" s="251"/>
      <c r="C59" s="167" t="s">
        <v>231</v>
      </c>
      <c r="D59" s="270"/>
      <c r="E59" s="56"/>
      <c r="F59" s="270"/>
    </row>
    <row r="60" spans="1:6" ht="17.25" customHeight="1" x14ac:dyDescent="0.25">
      <c r="A60" s="167">
        <v>3</v>
      </c>
      <c r="B60" s="251"/>
      <c r="C60" s="167" t="s">
        <v>232</v>
      </c>
      <c r="D60" s="270"/>
      <c r="E60" s="56"/>
      <c r="F60" s="270"/>
    </row>
    <row r="61" spans="1:6" ht="17.25" customHeight="1" x14ac:dyDescent="0.25">
      <c r="A61" s="167">
        <v>4</v>
      </c>
      <c r="B61" s="251"/>
      <c r="C61" s="167" t="s">
        <v>369</v>
      </c>
      <c r="D61" s="270"/>
      <c r="E61" s="56"/>
      <c r="F61" s="270"/>
    </row>
    <row r="62" spans="1:6" ht="17.25" customHeight="1" x14ac:dyDescent="0.25">
      <c r="A62" s="167">
        <v>5</v>
      </c>
      <c r="B62" s="251"/>
      <c r="C62" s="167" t="s">
        <v>370</v>
      </c>
      <c r="D62" s="270"/>
      <c r="E62" s="56"/>
      <c r="F62" s="270"/>
    </row>
    <row r="63" spans="1:6" ht="17.25" customHeight="1" x14ac:dyDescent="0.25">
      <c r="A63" s="167">
        <v>6</v>
      </c>
      <c r="B63" s="251"/>
      <c r="C63" s="167" t="s">
        <v>371</v>
      </c>
      <c r="D63" s="270"/>
      <c r="E63" s="56"/>
      <c r="F63" s="270"/>
    </row>
    <row r="64" spans="1:6" ht="17.25" customHeight="1" x14ac:dyDescent="0.25">
      <c r="A64" s="167">
        <v>7</v>
      </c>
      <c r="B64" s="251"/>
      <c r="C64" s="167" t="s">
        <v>372</v>
      </c>
      <c r="D64" s="270"/>
      <c r="E64" s="56"/>
      <c r="F64" s="270"/>
    </row>
    <row r="65" spans="1:6" ht="17.25" customHeight="1" x14ac:dyDescent="0.25">
      <c r="A65" s="167">
        <v>8</v>
      </c>
      <c r="B65" s="251"/>
      <c r="C65" s="167" t="s">
        <v>373</v>
      </c>
      <c r="D65" s="270"/>
      <c r="E65" s="56"/>
      <c r="F65" s="270"/>
    </row>
    <row r="66" spans="1:6" ht="17.25" customHeight="1" x14ac:dyDescent="0.25">
      <c r="A66" s="167">
        <v>9</v>
      </c>
      <c r="B66" s="251"/>
      <c r="C66" s="167" t="s">
        <v>368</v>
      </c>
      <c r="D66" s="271"/>
      <c r="E66" s="56"/>
      <c r="F66" s="271"/>
    </row>
  </sheetData>
  <mergeCells count="26">
    <mergeCell ref="B58:B66"/>
    <mergeCell ref="F58:F66"/>
    <mergeCell ref="D58:D66"/>
    <mergeCell ref="F54:F57"/>
    <mergeCell ref="E44:E48"/>
    <mergeCell ref="F44:F48"/>
    <mergeCell ref="A1:F1"/>
    <mergeCell ref="B25:B34"/>
    <mergeCell ref="D31:D34"/>
    <mergeCell ref="F31:F34"/>
    <mergeCell ref="B7:B12"/>
    <mergeCell ref="F8:F12"/>
    <mergeCell ref="F25:F29"/>
    <mergeCell ref="D25:D29"/>
    <mergeCell ref="F36:F43"/>
    <mergeCell ref="B54:B57"/>
    <mergeCell ref="D55:D57"/>
    <mergeCell ref="B5:B6"/>
    <mergeCell ref="D6:D7"/>
    <mergeCell ref="B44:B48"/>
    <mergeCell ref="D44:D48"/>
    <mergeCell ref="B14:B15"/>
    <mergeCell ref="B16:B24"/>
    <mergeCell ref="D16:D24"/>
    <mergeCell ref="B36:B43"/>
    <mergeCell ref="D36:D43"/>
  </mergeCells>
  <phoneticPr fontId="20" type="noConversion"/>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F17"/>
  <sheetViews>
    <sheetView topLeftCell="A16" workbookViewId="0">
      <selection activeCell="A2" sqref="A2"/>
    </sheetView>
  </sheetViews>
  <sheetFormatPr defaultRowHeight="15" x14ac:dyDescent="0.25"/>
  <cols>
    <col min="1" max="1" width="6.42578125" customWidth="1"/>
    <col min="2" max="2" width="11.85546875" customWidth="1"/>
    <col min="3" max="3" width="25.7109375" customWidth="1"/>
    <col min="4" max="4" width="42.85546875" customWidth="1"/>
    <col min="5" max="5" width="26" customWidth="1"/>
    <col min="6" max="6" width="14.140625" customWidth="1"/>
  </cols>
  <sheetData>
    <row r="1" spans="1:6" ht="18.75" x14ac:dyDescent="0.3">
      <c r="A1" s="264" t="s">
        <v>512</v>
      </c>
      <c r="B1" s="264"/>
      <c r="C1" s="264"/>
      <c r="D1" s="264"/>
      <c r="E1" s="264"/>
      <c r="F1" s="264"/>
    </row>
    <row r="2" spans="1:6" x14ac:dyDescent="0.25">
      <c r="A2" s="69"/>
    </row>
    <row r="3" spans="1:6" ht="30.6" customHeight="1" x14ac:dyDescent="0.25">
      <c r="A3" s="64" t="s">
        <v>211</v>
      </c>
      <c r="B3" s="64" t="s">
        <v>212</v>
      </c>
      <c r="C3" s="64" t="s">
        <v>213</v>
      </c>
      <c r="D3" s="64" t="s">
        <v>214</v>
      </c>
      <c r="E3" s="64" t="s">
        <v>15</v>
      </c>
      <c r="F3" s="161" t="s">
        <v>341</v>
      </c>
    </row>
    <row r="4" spans="1:6" ht="60" x14ac:dyDescent="0.25">
      <c r="A4" s="82">
        <v>1</v>
      </c>
      <c r="B4" s="275" t="s">
        <v>289</v>
      </c>
      <c r="C4" s="269" t="s">
        <v>290</v>
      </c>
      <c r="D4" s="72" t="s">
        <v>295</v>
      </c>
      <c r="E4" s="269" t="s">
        <v>296</v>
      </c>
      <c r="F4" s="269" t="s">
        <v>510</v>
      </c>
    </row>
    <row r="5" spans="1:6" ht="60" x14ac:dyDescent="0.25">
      <c r="A5" s="82">
        <f>A4+1</f>
        <v>2</v>
      </c>
      <c r="B5" s="274"/>
      <c r="C5" s="270"/>
      <c r="D5" s="72" t="s">
        <v>297</v>
      </c>
      <c r="E5" s="270"/>
      <c r="F5" s="270"/>
    </row>
    <row r="6" spans="1:6" ht="60" x14ac:dyDescent="0.25">
      <c r="A6" s="82">
        <f>A5+1</f>
        <v>3</v>
      </c>
      <c r="B6" s="274"/>
      <c r="C6" s="270"/>
      <c r="D6" s="72" t="s">
        <v>298</v>
      </c>
      <c r="E6" s="270"/>
      <c r="F6" s="270"/>
    </row>
    <row r="7" spans="1:6" ht="165" x14ac:dyDescent="0.25">
      <c r="A7" s="82">
        <f>A6+1</f>
        <v>4</v>
      </c>
      <c r="B7" s="274"/>
      <c r="C7" s="270"/>
      <c r="D7" s="72" t="s">
        <v>299</v>
      </c>
      <c r="E7" s="271"/>
      <c r="F7" s="270"/>
    </row>
    <row r="8" spans="1:6" ht="90" x14ac:dyDescent="0.25">
      <c r="A8" s="82">
        <f>A7+1</f>
        <v>5</v>
      </c>
      <c r="B8" s="274"/>
      <c r="C8" s="270"/>
      <c r="D8" s="72" t="s">
        <v>300</v>
      </c>
      <c r="E8" s="269" t="s">
        <v>291</v>
      </c>
      <c r="F8" s="270"/>
    </row>
    <row r="9" spans="1:6" ht="95.25" customHeight="1" x14ac:dyDescent="0.25">
      <c r="A9" s="84">
        <f>A8+1</f>
        <v>6</v>
      </c>
      <c r="B9" s="274"/>
      <c r="C9" s="270"/>
      <c r="D9" s="73" t="s">
        <v>301</v>
      </c>
      <c r="E9" s="270"/>
      <c r="F9" s="270"/>
    </row>
    <row r="10" spans="1:6" ht="80.25" customHeight="1" x14ac:dyDescent="0.25">
      <c r="A10" s="84">
        <v>7</v>
      </c>
      <c r="B10" s="252"/>
      <c r="C10" s="271"/>
      <c r="D10" s="81" t="s">
        <v>511</v>
      </c>
      <c r="E10" s="271"/>
      <c r="F10" s="271"/>
    </row>
    <row r="11" spans="1:6" ht="60.75" customHeight="1" x14ac:dyDescent="0.25">
      <c r="A11" s="82">
        <v>8</v>
      </c>
      <c r="B11" s="82" t="s">
        <v>180</v>
      </c>
      <c r="C11" s="72" t="s">
        <v>302</v>
      </c>
      <c r="D11" s="269" t="s">
        <v>303</v>
      </c>
      <c r="E11" s="269" t="s">
        <v>292</v>
      </c>
      <c r="F11" s="269" t="s">
        <v>340</v>
      </c>
    </row>
    <row r="12" spans="1:6" ht="60" customHeight="1" x14ac:dyDescent="0.25">
      <c r="A12" s="82">
        <v>9</v>
      </c>
      <c r="B12" s="82" t="s">
        <v>181</v>
      </c>
      <c r="C12" s="72" t="s">
        <v>304</v>
      </c>
      <c r="D12" s="271"/>
      <c r="E12" s="270"/>
      <c r="F12" s="270"/>
    </row>
    <row r="13" spans="1:6" ht="29.25" customHeight="1" x14ac:dyDescent="0.25">
      <c r="A13" s="82">
        <v>10</v>
      </c>
      <c r="B13" s="72" t="s">
        <v>181</v>
      </c>
      <c r="C13" s="82" t="s">
        <v>304</v>
      </c>
      <c r="D13" s="248" t="s">
        <v>305</v>
      </c>
      <c r="E13" s="270"/>
      <c r="F13" s="270"/>
    </row>
    <row r="14" spans="1:6" ht="29.25" customHeight="1" x14ac:dyDescent="0.25">
      <c r="A14" s="83">
        <v>11</v>
      </c>
      <c r="B14" s="82" t="s">
        <v>183</v>
      </c>
      <c r="C14" s="82" t="s">
        <v>293</v>
      </c>
      <c r="D14" s="249"/>
      <c r="E14" s="270"/>
      <c r="F14" s="270"/>
    </row>
    <row r="15" spans="1:6" ht="90" x14ac:dyDescent="0.25">
      <c r="A15" s="83">
        <v>12</v>
      </c>
      <c r="B15" s="82" t="s">
        <v>183</v>
      </c>
      <c r="C15" s="82" t="s">
        <v>293</v>
      </c>
      <c r="D15" s="73" t="s">
        <v>306</v>
      </c>
      <c r="E15" s="271"/>
      <c r="F15" s="271"/>
    </row>
    <row r="17" spans="1:2" x14ac:dyDescent="0.25">
      <c r="A17" s="75" t="s">
        <v>268</v>
      </c>
      <c r="B17" s="80" t="s">
        <v>294</v>
      </c>
    </row>
  </sheetData>
  <mergeCells count="10">
    <mergeCell ref="D11:D12"/>
    <mergeCell ref="E11:E15"/>
    <mergeCell ref="D13:D14"/>
    <mergeCell ref="A1:F1"/>
    <mergeCell ref="B4:B10"/>
    <mergeCell ref="C4:C10"/>
    <mergeCell ref="E4:E7"/>
    <mergeCell ref="E8:E10"/>
    <mergeCell ref="F4:F10"/>
    <mergeCell ref="F11:F15"/>
  </mergeCells>
  <printOptions horizontalCentered="1"/>
  <pageMargins left="0.55118110236220474" right="0.19685039370078741" top="0.47244094488188981" bottom="0.55118110236220474" header="0.31496062992125984" footer="0.19685039370078741"/>
  <pageSetup paperSize="9" scale="90" orientation="portrait" horizontalDpi="300" verticalDpi="300"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77"/>
  <sheetViews>
    <sheetView topLeftCell="A64" workbookViewId="0">
      <selection activeCell="A78" sqref="A78"/>
    </sheetView>
  </sheetViews>
  <sheetFormatPr defaultRowHeight="15" x14ac:dyDescent="0.25"/>
  <cols>
    <col min="1" max="1" width="6.42578125" style="103" customWidth="1"/>
    <col min="2" max="2" width="13.5703125" style="103" customWidth="1"/>
    <col min="3" max="3" width="78.5703125" customWidth="1"/>
    <col min="4" max="4" width="21.140625" style="103" customWidth="1"/>
    <col min="5" max="5" width="32.5703125" customWidth="1"/>
  </cols>
  <sheetData>
    <row r="1" spans="1:5" ht="18.75" x14ac:dyDescent="0.3">
      <c r="A1" s="279" t="s">
        <v>318</v>
      </c>
      <c r="B1" s="279"/>
      <c r="C1" s="279"/>
      <c r="D1" s="279"/>
      <c r="E1" s="279"/>
    </row>
    <row r="2" spans="1:5" ht="30" x14ac:dyDescent="0.25">
      <c r="A2" s="60" t="s">
        <v>6</v>
      </c>
      <c r="B2" s="60" t="s">
        <v>314</v>
      </c>
      <c r="C2" s="60" t="s">
        <v>327</v>
      </c>
      <c r="D2" s="165" t="s">
        <v>315</v>
      </c>
      <c r="E2" s="164" t="s">
        <v>15</v>
      </c>
    </row>
    <row r="3" spans="1:5" ht="23.45" customHeight="1" x14ac:dyDescent="0.25">
      <c r="A3" s="59">
        <v>1</v>
      </c>
      <c r="B3" s="104">
        <v>44256</v>
      </c>
      <c r="C3" s="56" t="s">
        <v>317</v>
      </c>
      <c r="D3" s="59" t="s">
        <v>316</v>
      </c>
      <c r="E3" s="56"/>
    </row>
    <row r="4" spans="1:5" x14ac:dyDescent="0.25">
      <c r="A4" s="59">
        <v>2</v>
      </c>
      <c r="B4" s="104">
        <v>44256</v>
      </c>
      <c r="C4" s="56" t="s">
        <v>331</v>
      </c>
      <c r="D4" s="59"/>
      <c r="E4" s="56" t="s">
        <v>334</v>
      </c>
    </row>
    <row r="5" spans="1:5" x14ac:dyDescent="0.25">
      <c r="A5" s="59">
        <v>3</v>
      </c>
      <c r="B5" s="104">
        <v>44256</v>
      </c>
      <c r="C5" s="56" t="s">
        <v>330</v>
      </c>
      <c r="D5" s="59"/>
      <c r="E5" s="56" t="s">
        <v>338</v>
      </c>
    </row>
    <row r="6" spans="1:5" x14ac:dyDescent="0.25">
      <c r="A6" s="59">
        <v>4</v>
      </c>
      <c r="B6" s="104">
        <v>44270</v>
      </c>
      <c r="C6" s="56" t="s">
        <v>339</v>
      </c>
      <c r="D6" s="59"/>
      <c r="E6" s="56"/>
    </row>
    <row r="7" spans="1:5" x14ac:dyDescent="0.25">
      <c r="A7" s="59">
        <v>5</v>
      </c>
      <c r="B7" s="104">
        <v>44287</v>
      </c>
      <c r="C7" s="56" t="s">
        <v>343</v>
      </c>
      <c r="D7" s="59"/>
      <c r="E7" s="56" t="s">
        <v>365</v>
      </c>
    </row>
    <row r="8" spans="1:5" x14ac:dyDescent="0.25">
      <c r="A8" s="59">
        <v>6</v>
      </c>
      <c r="B8" s="104">
        <v>44287</v>
      </c>
      <c r="C8" s="56" t="s">
        <v>344</v>
      </c>
      <c r="D8" s="59"/>
      <c r="E8" s="56"/>
    </row>
    <row r="9" spans="1:5" x14ac:dyDescent="0.25">
      <c r="A9" s="59">
        <v>7</v>
      </c>
      <c r="B9" s="104">
        <v>44287</v>
      </c>
      <c r="C9" s="56" t="s">
        <v>345</v>
      </c>
      <c r="D9" s="59"/>
      <c r="E9" s="56"/>
    </row>
    <row r="10" spans="1:5" x14ac:dyDescent="0.25">
      <c r="A10" s="59">
        <v>8</v>
      </c>
      <c r="B10" s="104">
        <v>44287</v>
      </c>
      <c r="C10" s="56" t="s">
        <v>346</v>
      </c>
      <c r="D10" s="59"/>
      <c r="E10" s="56"/>
    </row>
    <row r="11" spans="1:5" x14ac:dyDescent="0.25">
      <c r="A11" s="59">
        <v>9</v>
      </c>
      <c r="B11" s="104">
        <v>44287</v>
      </c>
      <c r="C11" s="56" t="s">
        <v>347</v>
      </c>
      <c r="D11" s="59"/>
      <c r="E11" s="56"/>
    </row>
    <row r="12" spans="1:5" x14ac:dyDescent="0.25">
      <c r="A12" s="59">
        <v>10</v>
      </c>
      <c r="B12" s="104">
        <v>44287</v>
      </c>
      <c r="C12" s="56" t="s">
        <v>348</v>
      </c>
      <c r="D12" s="59"/>
      <c r="E12" s="56"/>
    </row>
    <row r="13" spans="1:5" x14ac:dyDescent="0.25">
      <c r="A13" s="59">
        <v>11</v>
      </c>
      <c r="B13" s="104">
        <v>44287</v>
      </c>
      <c r="C13" s="56" t="s">
        <v>349</v>
      </c>
      <c r="D13" s="59"/>
      <c r="E13" s="56"/>
    </row>
    <row r="14" spans="1:5" x14ac:dyDescent="0.25">
      <c r="A14" s="59">
        <v>12</v>
      </c>
      <c r="B14" s="104">
        <v>44287</v>
      </c>
      <c r="C14" s="56" t="s">
        <v>350</v>
      </c>
      <c r="D14" s="59"/>
      <c r="E14" s="56"/>
    </row>
    <row r="15" spans="1:5" x14ac:dyDescent="0.25">
      <c r="A15" s="59">
        <v>13</v>
      </c>
      <c r="B15" s="104">
        <v>44287</v>
      </c>
      <c r="C15" s="56" t="s">
        <v>351</v>
      </c>
      <c r="D15" s="59"/>
      <c r="E15" s="56"/>
    </row>
    <row r="16" spans="1:5" x14ac:dyDescent="0.25">
      <c r="A16" s="59">
        <v>14</v>
      </c>
      <c r="B16" s="104">
        <v>44287</v>
      </c>
      <c r="C16" s="56" t="s">
        <v>352</v>
      </c>
      <c r="D16" s="59"/>
      <c r="E16" s="56"/>
    </row>
    <row r="17" spans="1:5" x14ac:dyDescent="0.25">
      <c r="A17" s="59">
        <v>15</v>
      </c>
      <c r="B17" s="104">
        <v>44287</v>
      </c>
      <c r="C17" s="56" t="s">
        <v>353</v>
      </c>
      <c r="D17" s="59"/>
      <c r="E17" s="56"/>
    </row>
    <row r="18" spans="1:5" x14ac:dyDescent="0.25">
      <c r="A18" s="59">
        <v>16</v>
      </c>
      <c r="B18" s="104">
        <v>44297</v>
      </c>
      <c r="C18" s="56" t="s">
        <v>354</v>
      </c>
      <c r="D18" s="59" t="s">
        <v>356</v>
      </c>
      <c r="E18" s="56"/>
    </row>
    <row r="19" spans="1:5" x14ac:dyDescent="0.25">
      <c r="A19" s="59">
        <v>17</v>
      </c>
      <c r="B19" s="104">
        <v>44298</v>
      </c>
      <c r="C19" s="56" t="s">
        <v>355</v>
      </c>
      <c r="D19" s="59" t="s">
        <v>357</v>
      </c>
      <c r="E19" s="56"/>
    </row>
    <row r="20" spans="1:5" x14ac:dyDescent="0.25">
      <c r="A20" s="59">
        <v>18</v>
      </c>
      <c r="B20" s="104">
        <v>44314</v>
      </c>
      <c r="C20" s="56" t="s">
        <v>358</v>
      </c>
      <c r="D20" s="59" t="s">
        <v>356</v>
      </c>
      <c r="E20" s="56"/>
    </row>
    <row r="21" spans="1:5" x14ac:dyDescent="0.25">
      <c r="A21" s="59">
        <v>19</v>
      </c>
      <c r="B21" s="104">
        <v>44316</v>
      </c>
      <c r="C21" s="56" t="s">
        <v>366</v>
      </c>
      <c r="D21" s="59"/>
      <c r="E21" s="56"/>
    </row>
    <row r="22" spans="1:5" x14ac:dyDescent="0.25">
      <c r="A22" s="59">
        <v>20</v>
      </c>
      <c r="B22" s="104" t="s">
        <v>383</v>
      </c>
      <c r="C22" s="56" t="s">
        <v>386</v>
      </c>
      <c r="D22" s="59" t="s">
        <v>387</v>
      </c>
      <c r="E22" s="56"/>
    </row>
    <row r="23" spans="1:5" x14ac:dyDescent="0.25">
      <c r="A23" s="59">
        <v>21</v>
      </c>
      <c r="B23" s="59" t="s">
        <v>389</v>
      </c>
      <c r="C23" s="56" t="s">
        <v>396</v>
      </c>
      <c r="D23" s="59" t="s">
        <v>399</v>
      </c>
      <c r="E23" s="56"/>
    </row>
    <row r="24" spans="1:5" x14ac:dyDescent="0.25">
      <c r="A24" s="59">
        <v>22</v>
      </c>
      <c r="B24" s="104">
        <v>44344</v>
      </c>
      <c r="C24" s="56" t="s">
        <v>397</v>
      </c>
      <c r="D24" s="59" t="s">
        <v>400</v>
      </c>
      <c r="E24" s="56"/>
    </row>
    <row r="25" spans="1:5" x14ac:dyDescent="0.25">
      <c r="A25" s="59">
        <v>23</v>
      </c>
      <c r="B25" s="104">
        <v>44349</v>
      </c>
      <c r="C25" s="56" t="s">
        <v>398</v>
      </c>
      <c r="D25" s="59" t="s">
        <v>401</v>
      </c>
      <c r="E25" s="56"/>
    </row>
    <row r="26" spans="1:5" x14ac:dyDescent="0.25">
      <c r="A26" s="59">
        <v>24</v>
      </c>
      <c r="B26" s="104">
        <v>44354</v>
      </c>
      <c r="C26" s="56" t="s">
        <v>403</v>
      </c>
      <c r="D26" s="59" t="s">
        <v>404</v>
      </c>
      <c r="E26" s="56"/>
    </row>
    <row r="27" spans="1:5" x14ac:dyDescent="0.25">
      <c r="A27" s="59">
        <v>25</v>
      </c>
      <c r="B27" s="104">
        <v>44364</v>
      </c>
      <c r="C27" s="56" t="s">
        <v>406</v>
      </c>
      <c r="D27" s="59" t="s">
        <v>407</v>
      </c>
      <c r="E27" s="56"/>
    </row>
    <row r="28" spans="1:5" x14ac:dyDescent="0.25">
      <c r="A28" s="59">
        <v>26</v>
      </c>
      <c r="B28" s="104">
        <v>44365</v>
      </c>
      <c r="C28" s="56" t="s">
        <v>408</v>
      </c>
      <c r="D28" s="59" t="s">
        <v>409</v>
      </c>
      <c r="E28" s="56"/>
    </row>
    <row r="29" spans="1:5" x14ac:dyDescent="0.25">
      <c r="A29" s="59">
        <v>27</v>
      </c>
      <c r="B29" s="104">
        <v>44335</v>
      </c>
      <c r="C29" s="56" t="s">
        <v>410</v>
      </c>
      <c r="D29" s="59" t="s">
        <v>411</v>
      </c>
      <c r="E29" s="56"/>
    </row>
    <row r="30" spans="1:5" x14ac:dyDescent="0.25">
      <c r="A30" s="59">
        <v>28</v>
      </c>
      <c r="B30" s="104">
        <v>44368</v>
      </c>
      <c r="C30" s="56" t="s">
        <v>412</v>
      </c>
      <c r="D30" s="59" t="s">
        <v>413</v>
      </c>
      <c r="E30" s="56"/>
    </row>
    <row r="31" spans="1:5" x14ac:dyDescent="0.25">
      <c r="A31" s="59">
        <v>29</v>
      </c>
      <c r="B31" s="104">
        <v>44368</v>
      </c>
      <c r="C31" s="56" t="s">
        <v>414</v>
      </c>
      <c r="D31" s="59" t="s">
        <v>415</v>
      </c>
      <c r="E31" s="56"/>
    </row>
    <row r="32" spans="1:5" x14ac:dyDescent="0.25">
      <c r="A32" s="59">
        <v>30</v>
      </c>
      <c r="B32" s="104">
        <v>44369</v>
      </c>
      <c r="C32" s="56" t="s">
        <v>416</v>
      </c>
      <c r="D32" s="59" t="s">
        <v>407</v>
      </c>
      <c r="E32" s="56"/>
    </row>
    <row r="33" spans="1:5" x14ac:dyDescent="0.25">
      <c r="A33" s="59">
        <v>31</v>
      </c>
      <c r="B33" s="104">
        <v>44370</v>
      </c>
      <c r="C33" s="56" t="s">
        <v>417</v>
      </c>
      <c r="D33" s="59" t="s">
        <v>418</v>
      </c>
      <c r="E33" s="56"/>
    </row>
    <row r="34" spans="1:5" x14ac:dyDescent="0.25">
      <c r="A34" s="59">
        <v>32</v>
      </c>
      <c r="B34" s="104">
        <v>44370</v>
      </c>
      <c r="C34" s="56" t="s">
        <v>419</v>
      </c>
      <c r="D34" s="59" t="s">
        <v>420</v>
      </c>
      <c r="E34" s="56"/>
    </row>
    <row r="35" spans="1:5" x14ac:dyDescent="0.25">
      <c r="A35" s="59">
        <v>33</v>
      </c>
      <c r="B35" s="104">
        <v>44370</v>
      </c>
      <c r="C35" s="56" t="s">
        <v>421</v>
      </c>
      <c r="D35" s="59" t="s">
        <v>422</v>
      </c>
      <c r="E35" s="56"/>
    </row>
    <row r="36" spans="1:5" x14ac:dyDescent="0.25">
      <c r="A36" s="59">
        <v>34</v>
      </c>
      <c r="B36" s="104">
        <v>44370</v>
      </c>
      <c r="C36" s="56" t="s">
        <v>423</v>
      </c>
      <c r="D36" s="59" t="s">
        <v>407</v>
      </c>
      <c r="E36" s="56"/>
    </row>
    <row r="37" spans="1:5" x14ac:dyDescent="0.25">
      <c r="A37" s="59">
        <v>35</v>
      </c>
      <c r="B37" s="104">
        <v>44372</v>
      </c>
      <c r="C37" s="56" t="s">
        <v>424</v>
      </c>
      <c r="D37" s="59" t="s">
        <v>425</v>
      </c>
      <c r="E37" s="56" t="s">
        <v>426</v>
      </c>
    </row>
    <row r="38" spans="1:5" x14ac:dyDescent="0.25">
      <c r="A38" s="59">
        <v>36</v>
      </c>
      <c r="B38" s="104">
        <v>44376</v>
      </c>
      <c r="C38" s="56" t="s">
        <v>427</v>
      </c>
      <c r="D38" s="59" t="s">
        <v>428</v>
      </c>
      <c r="E38" s="56"/>
    </row>
    <row r="39" spans="1:5" x14ac:dyDescent="0.25">
      <c r="A39" s="59">
        <v>37</v>
      </c>
      <c r="B39" s="104">
        <v>44389</v>
      </c>
      <c r="C39" s="56" t="s">
        <v>430</v>
      </c>
      <c r="D39" s="59" t="s">
        <v>431</v>
      </c>
      <c r="E39" s="56"/>
    </row>
    <row r="40" spans="1:5" x14ac:dyDescent="0.25">
      <c r="A40" s="59">
        <v>38</v>
      </c>
      <c r="B40" s="104">
        <v>44390</v>
      </c>
      <c r="C40" s="56" t="s">
        <v>432</v>
      </c>
      <c r="D40" s="59" t="s">
        <v>433</v>
      </c>
      <c r="E40" s="56"/>
    </row>
    <row r="41" spans="1:5" x14ac:dyDescent="0.25">
      <c r="A41" s="59">
        <v>39</v>
      </c>
      <c r="B41" s="104">
        <v>44391</v>
      </c>
      <c r="C41" s="56" t="s">
        <v>434</v>
      </c>
      <c r="D41" s="59" t="s">
        <v>435</v>
      </c>
      <c r="E41" s="56"/>
    </row>
    <row r="42" spans="1:5" x14ac:dyDescent="0.25">
      <c r="A42" s="59">
        <v>40</v>
      </c>
      <c r="B42" s="104">
        <v>44394</v>
      </c>
      <c r="C42" s="56" t="s">
        <v>436</v>
      </c>
      <c r="D42" s="59" t="s">
        <v>437</v>
      </c>
      <c r="E42" s="56"/>
    </row>
    <row r="43" spans="1:5" x14ac:dyDescent="0.25">
      <c r="A43" s="59">
        <v>41</v>
      </c>
      <c r="B43" s="104">
        <v>44403</v>
      </c>
      <c r="C43" s="56" t="s">
        <v>440</v>
      </c>
      <c r="D43" s="59" t="s">
        <v>441</v>
      </c>
      <c r="E43" s="56"/>
    </row>
    <row r="44" spans="1:5" x14ac:dyDescent="0.25">
      <c r="A44" s="59">
        <v>42</v>
      </c>
      <c r="B44" s="104">
        <v>44404</v>
      </c>
      <c r="C44" s="56" t="s">
        <v>442</v>
      </c>
      <c r="D44" s="59" t="s">
        <v>443</v>
      </c>
      <c r="E44" s="56"/>
    </row>
    <row r="45" spans="1:5" x14ac:dyDescent="0.25">
      <c r="A45" s="59">
        <v>43</v>
      </c>
      <c r="B45" s="104">
        <v>44407</v>
      </c>
      <c r="C45" s="56" t="s">
        <v>446</v>
      </c>
      <c r="D45" s="59" t="s">
        <v>447</v>
      </c>
      <c r="E45" s="56"/>
    </row>
    <row r="46" spans="1:5" x14ac:dyDescent="0.25">
      <c r="A46" s="59">
        <v>44</v>
      </c>
      <c r="B46" s="104">
        <v>44408</v>
      </c>
      <c r="C46" s="56" t="s">
        <v>450</v>
      </c>
      <c r="D46" s="59" t="s">
        <v>451</v>
      </c>
      <c r="E46" s="56"/>
    </row>
    <row r="47" spans="1:5" x14ac:dyDescent="0.25">
      <c r="A47" s="59">
        <v>45</v>
      </c>
      <c r="B47" s="104">
        <v>44408</v>
      </c>
      <c r="C47" s="56" t="s">
        <v>452</v>
      </c>
      <c r="D47" s="59" t="s">
        <v>453</v>
      </c>
      <c r="E47" s="56"/>
    </row>
    <row r="48" spans="1:5" x14ac:dyDescent="0.25">
      <c r="A48" s="59">
        <v>46</v>
      </c>
      <c r="B48" s="104">
        <v>44408</v>
      </c>
      <c r="C48" s="56" t="s">
        <v>454</v>
      </c>
      <c r="D48" s="59" t="s">
        <v>455</v>
      </c>
      <c r="E48" s="56"/>
    </row>
    <row r="49" spans="1:5" x14ac:dyDescent="0.25">
      <c r="A49" s="59">
        <v>47</v>
      </c>
      <c r="B49" s="104">
        <v>44410</v>
      </c>
      <c r="C49" s="56" t="s">
        <v>456</v>
      </c>
      <c r="D49" s="59" t="s">
        <v>457</v>
      </c>
      <c r="E49" s="56"/>
    </row>
    <row r="50" spans="1:5" x14ac:dyDescent="0.25">
      <c r="A50" s="59">
        <v>48</v>
      </c>
      <c r="B50" s="104">
        <v>44410</v>
      </c>
      <c r="C50" s="56" t="s">
        <v>452</v>
      </c>
      <c r="D50" s="59" t="s">
        <v>420</v>
      </c>
      <c r="E50" s="56"/>
    </row>
    <row r="51" spans="1:5" x14ac:dyDescent="0.25">
      <c r="A51" s="59">
        <v>49</v>
      </c>
      <c r="B51" s="104">
        <v>44410</v>
      </c>
      <c r="C51" s="56" t="s">
        <v>458</v>
      </c>
      <c r="D51" s="59" t="s">
        <v>459</v>
      </c>
      <c r="E51" s="56"/>
    </row>
    <row r="52" spans="1:5" x14ac:dyDescent="0.25">
      <c r="A52" s="59">
        <v>50</v>
      </c>
      <c r="B52" s="104">
        <v>44411</v>
      </c>
      <c r="C52" s="56" t="s">
        <v>461</v>
      </c>
      <c r="D52" s="59" t="s">
        <v>462</v>
      </c>
      <c r="E52" s="56"/>
    </row>
    <row r="53" spans="1:5" x14ac:dyDescent="0.25">
      <c r="A53" s="59">
        <v>51</v>
      </c>
      <c r="B53" s="104">
        <v>44411</v>
      </c>
      <c r="C53" s="56" t="s">
        <v>463</v>
      </c>
      <c r="D53" s="59" t="s">
        <v>464</v>
      </c>
      <c r="E53" s="56"/>
    </row>
    <row r="54" spans="1:5" x14ac:dyDescent="0.25">
      <c r="A54" s="59">
        <v>52</v>
      </c>
      <c r="B54" s="104">
        <v>44412</v>
      </c>
      <c r="C54" s="56" t="s">
        <v>466</v>
      </c>
      <c r="D54" s="59" t="s">
        <v>467</v>
      </c>
      <c r="E54" s="56"/>
    </row>
    <row r="55" spans="1:5" x14ac:dyDescent="0.25">
      <c r="A55" s="59">
        <v>53</v>
      </c>
      <c r="B55" s="104">
        <v>44412</v>
      </c>
      <c r="C55" s="56" t="s">
        <v>468</v>
      </c>
      <c r="D55" s="59" t="s">
        <v>469</v>
      </c>
      <c r="E55" s="56"/>
    </row>
    <row r="56" spans="1:5" x14ac:dyDescent="0.25">
      <c r="A56" s="59">
        <v>54</v>
      </c>
      <c r="B56" s="104">
        <v>44413</v>
      </c>
      <c r="C56" s="56" t="s">
        <v>470</v>
      </c>
      <c r="D56" s="59" t="s">
        <v>475</v>
      </c>
      <c r="E56" s="280" t="s">
        <v>476</v>
      </c>
    </row>
    <row r="57" spans="1:5" x14ac:dyDescent="0.25">
      <c r="A57" s="59">
        <v>55</v>
      </c>
      <c r="B57" s="104">
        <v>44413</v>
      </c>
      <c r="C57" s="56" t="s">
        <v>477</v>
      </c>
      <c r="D57" s="59" t="s">
        <v>478</v>
      </c>
      <c r="E57" s="281"/>
    </row>
    <row r="58" spans="1:5" x14ac:dyDescent="0.25">
      <c r="A58" s="59">
        <v>56</v>
      </c>
      <c r="B58" s="104">
        <v>44413</v>
      </c>
      <c r="C58" s="56" t="s">
        <v>479</v>
      </c>
      <c r="D58" s="59" t="s">
        <v>480</v>
      </c>
      <c r="E58" s="281"/>
    </row>
    <row r="59" spans="1:5" x14ac:dyDescent="0.25">
      <c r="A59" s="59">
        <v>57</v>
      </c>
      <c r="B59" s="104">
        <v>44413</v>
      </c>
      <c r="C59" s="56" t="s">
        <v>481</v>
      </c>
      <c r="D59" s="59" t="s">
        <v>482</v>
      </c>
      <c r="E59" s="281"/>
    </row>
    <row r="60" spans="1:5" x14ac:dyDescent="0.25">
      <c r="A60" s="59">
        <v>55</v>
      </c>
      <c r="B60" s="104">
        <v>44414</v>
      </c>
      <c r="C60" s="56" t="s">
        <v>471</v>
      </c>
      <c r="D60" s="59" t="s">
        <v>472</v>
      </c>
      <c r="E60" s="56"/>
    </row>
    <row r="61" spans="1:5" x14ac:dyDescent="0.25">
      <c r="A61" s="59">
        <v>56</v>
      </c>
      <c r="B61" s="104">
        <v>44414</v>
      </c>
      <c r="C61" s="56" t="s">
        <v>473</v>
      </c>
      <c r="D61" s="59" t="s">
        <v>474</v>
      </c>
      <c r="E61" s="56"/>
    </row>
    <row r="62" spans="1:5" x14ac:dyDescent="0.25">
      <c r="A62" s="208">
        <v>57</v>
      </c>
      <c r="B62" s="209">
        <v>44428</v>
      </c>
      <c r="C62" s="210" t="s">
        <v>490</v>
      </c>
      <c r="D62" s="208" t="s">
        <v>491</v>
      </c>
    </row>
    <row r="63" spans="1:5" x14ac:dyDescent="0.25">
      <c r="A63" s="59">
        <v>58</v>
      </c>
      <c r="B63" s="104">
        <v>44433</v>
      </c>
      <c r="C63" s="211" t="s">
        <v>520</v>
      </c>
      <c r="D63" s="59" t="s">
        <v>521</v>
      </c>
      <c r="E63" s="56"/>
    </row>
    <row r="64" spans="1:5" x14ac:dyDescent="0.25">
      <c r="A64" s="59">
        <v>59</v>
      </c>
      <c r="B64" s="104">
        <v>44442</v>
      </c>
      <c r="C64" s="211" t="s">
        <v>529</v>
      </c>
      <c r="D64" s="59" t="s">
        <v>530</v>
      </c>
      <c r="E64" s="56"/>
    </row>
    <row r="65" spans="1:5" x14ac:dyDescent="0.25">
      <c r="A65" s="59">
        <v>60</v>
      </c>
      <c r="B65" s="104">
        <v>44448</v>
      </c>
      <c r="C65" s="211" t="s">
        <v>522</v>
      </c>
      <c r="D65" s="59" t="s">
        <v>523</v>
      </c>
      <c r="E65" s="56"/>
    </row>
    <row r="66" spans="1:5" x14ac:dyDescent="0.25">
      <c r="A66" s="59">
        <v>61</v>
      </c>
      <c r="B66" s="104">
        <v>44450</v>
      </c>
      <c r="C66" s="211" t="s">
        <v>528</v>
      </c>
      <c r="D66" s="59" t="s">
        <v>521</v>
      </c>
      <c r="E66" s="56"/>
    </row>
    <row r="67" spans="1:5" x14ac:dyDescent="0.25">
      <c r="A67" s="59">
        <v>62</v>
      </c>
      <c r="B67" s="104">
        <v>44452</v>
      </c>
      <c r="C67" s="211" t="s">
        <v>524</v>
      </c>
      <c r="D67" s="59" t="s">
        <v>525</v>
      </c>
      <c r="E67" s="56"/>
    </row>
    <row r="68" spans="1:5" x14ac:dyDescent="0.25">
      <c r="A68" s="59">
        <v>63</v>
      </c>
      <c r="B68" s="104">
        <v>44453</v>
      </c>
      <c r="C68" s="211" t="s">
        <v>531</v>
      </c>
      <c r="D68" s="59" t="s">
        <v>532</v>
      </c>
      <c r="E68" s="56"/>
    </row>
    <row r="69" spans="1:5" x14ac:dyDescent="0.25">
      <c r="A69" s="59">
        <v>64</v>
      </c>
      <c r="B69" s="104">
        <v>44454</v>
      </c>
      <c r="C69" s="211" t="s">
        <v>526</v>
      </c>
      <c r="D69" s="59" t="s">
        <v>527</v>
      </c>
      <c r="E69" s="56"/>
    </row>
    <row r="70" spans="1:5" x14ac:dyDescent="0.25">
      <c r="A70" s="59">
        <v>65</v>
      </c>
      <c r="B70" s="104">
        <v>44459</v>
      </c>
      <c r="C70" s="211" t="s">
        <v>533</v>
      </c>
      <c r="D70" s="59" t="s">
        <v>534</v>
      </c>
      <c r="E70" s="56"/>
    </row>
    <row r="71" spans="1:5" x14ac:dyDescent="0.25">
      <c r="A71" s="59">
        <v>66</v>
      </c>
      <c r="B71" s="104">
        <v>44460</v>
      </c>
      <c r="C71" s="211" t="s">
        <v>535</v>
      </c>
      <c r="D71" s="59" t="s">
        <v>534</v>
      </c>
      <c r="E71" s="56"/>
    </row>
    <row r="72" spans="1:5" x14ac:dyDescent="0.25">
      <c r="A72" s="59">
        <v>67</v>
      </c>
      <c r="B72" s="104">
        <v>44461</v>
      </c>
      <c r="C72" s="211" t="s">
        <v>536</v>
      </c>
      <c r="D72" s="59" t="s">
        <v>521</v>
      </c>
      <c r="E72" s="56"/>
    </row>
    <row r="73" spans="1:5" x14ac:dyDescent="0.25">
      <c r="A73" s="59">
        <v>68</v>
      </c>
      <c r="B73" s="104">
        <v>44464</v>
      </c>
      <c r="C73" s="211" t="s">
        <v>537</v>
      </c>
      <c r="D73" s="59" t="s">
        <v>538</v>
      </c>
      <c r="E73" s="56"/>
    </row>
    <row r="74" spans="1:5" x14ac:dyDescent="0.25">
      <c r="A74" s="59">
        <v>69</v>
      </c>
      <c r="B74" s="104">
        <v>44467</v>
      </c>
      <c r="C74" s="211" t="s">
        <v>539</v>
      </c>
      <c r="D74" s="59" t="s">
        <v>540</v>
      </c>
      <c r="E74" s="56"/>
    </row>
    <row r="75" spans="1:5" x14ac:dyDescent="0.25">
      <c r="A75" s="59">
        <v>70</v>
      </c>
      <c r="B75" s="104">
        <v>44468</v>
      </c>
      <c r="C75" s="211" t="s">
        <v>541</v>
      </c>
      <c r="D75" s="59" t="s">
        <v>542</v>
      </c>
      <c r="E75" s="56"/>
    </row>
    <row r="76" spans="1:5" x14ac:dyDescent="0.25">
      <c r="A76" s="59">
        <v>71</v>
      </c>
      <c r="B76" s="104">
        <v>44482</v>
      </c>
      <c r="C76" s="211" t="s">
        <v>543</v>
      </c>
      <c r="D76" s="59" t="s">
        <v>538</v>
      </c>
      <c r="E76" s="56"/>
    </row>
    <row r="77" spans="1:5" x14ac:dyDescent="0.25">
      <c r="A77" s="214">
        <v>72</v>
      </c>
      <c r="B77" s="215">
        <v>44484</v>
      </c>
      <c r="C77" s="216" t="s">
        <v>544</v>
      </c>
      <c r="D77" s="214" t="s">
        <v>545</v>
      </c>
      <c r="E77" s="216"/>
    </row>
  </sheetData>
  <mergeCells count="2">
    <mergeCell ref="A1:E1"/>
    <mergeCell ref="E56:E5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
  <sheetViews>
    <sheetView workbookViewId="0">
      <selection activeCell="G3" sqref="G3"/>
    </sheetView>
  </sheetViews>
  <sheetFormatPr defaultRowHeight="15" x14ac:dyDescent="0.25"/>
  <cols>
    <col min="1" max="1" width="19" bestFit="1" customWidth="1"/>
    <col min="2" max="2" width="18.140625" customWidth="1"/>
    <col min="3" max="3" width="14" bestFit="1" customWidth="1"/>
    <col min="4" max="4" width="14.28515625" bestFit="1" customWidth="1"/>
    <col min="5" max="5" width="11" bestFit="1" customWidth="1"/>
    <col min="6" max="6" width="12.5703125" bestFit="1" customWidth="1"/>
    <col min="7" max="7" width="12.85546875" bestFit="1" customWidth="1"/>
    <col min="8" max="8" width="16.140625" bestFit="1" customWidth="1"/>
    <col min="9" max="9" width="3" bestFit="1" customWidth="1"/>
    <col min="10" max="10" width="16.140625" customWidth="1"/>
    <col min="11" max="11" width="3.7109375" customWidth="1"/>
    <col min="12" max="13" width="16.140625" customWidth="1"/>
    <col min="14" max="14" width="8.85546875" bestFit="1" customWidth="1"/>
  </cols>
  <sheetData>
    <row r="1" spans="1:20" x14ac:dyDescent="0.25">
      <c r="A1" s="56"/>
      <c r="B1" s="292" t="s">
        <v>391</v>
      </c>
      <c r="C1" s="292"/>
      <c r="D1" s="292"/>
      <c r="E1" s="292"/>
      <c r="F1" s="292"/>
      <c r="G1" s="292"/>
      <c r="H1" s="292" t="s">
        <v>392</v>
      </c>
      <c r="I1" s="292"/>
      <c r="J1" s="292"/>
      <c r="K1" s="292"/>
      <c r="L1" s="292"/>
      <c r="M1" s="292"/>
      <c r="N1" s="293" t="s">
        <v>395</v>
      </c>
      <c r="O1" s="293"/>
    </row>
    <row r="2" spans="1:20" ht="45" customHeight="1" x14ac:dyDescent="0.25">
      <c r="A2" s="172"/>
      <c r="B2" s="173" t="s">
        <v>388</v>
      </c>
      <c r="C2" s="173" t="s">
        <v>378</v>
      </c>
      <c r="D2" s="173" t="s">
        <v>379</v>
      </c>
      <c r="E2" s="173" t="s">
        <v>381</v>
      </c>
      <c r="F2" s="173" t="s">
        <v>382</v>
      </c>
      <c r="G2" s="173" t="s">
        <v>380</v>
      </c>
      <c r="H2" s="295" t="s">
        <v>393</v>
      </c>
      <c r="I2" s="296"/>
      <c r="J2" s="297" t="s">
        <v>376</v>
      </c>
      <c r="K2" s="298"/>
      <c r="L2" s="187" t="s">
        <v>438</v>
      </c>
      <c r="M2" s="187" t="s">
        <v>439</v>
      </c>
      <c r="N2" s="294" t="s">
        <v>384</v>
      </c>
      <c r="O2" s="294" t="s">
        <v>385</v>
      </c>
    </row>
    <row r="3" spans="1:20" ht="45" customHeight="1" x14ac:dyDescent="0.25">
      <c r="A3" s="164" t="s">
        <v>390</v>
      </c>
      <c r="B3" s="175">
        <f>Progress!D9</f>
        <v>107231</v>
      </c>
      <c r="C3" s="175">
        <f>Progress!D10</f>
        <v>75182</v>
      </c>
      <c r="D3" s="175">
        <f>Progress!D11</f>
        <v>75182</v>
      </c>
      <c r="E3" s="176">
        <f>Progress!D22</f>
        <v>123470</v>
      </c>
      <c r="F3" s="176">
        <f>Progress!D23</f>
        <v>123470</v>
      </c>
      <c r="G3" s="177">
        <f>Progress!D26</f>
        <v>489572</v>
      </c>
      <c r="H3" s="282">
        <f>Progress!D64</f>
        <v>4400</v>
      </c>
      <c r="I3" s="283"/>
      <c r="J3" s="282">
        <f>Progress!D66</f>
        <v>4400</v>
      </c>
      <c r="K3" s="283"/>
      <c r="L3" s="175">
        <v>4400</v>
      </c>
      <c r="M3" s="175">
        <v>4400</v>
      </c>
      <c r="N3" s="294"/>
      <c r="O3" s="294"/>
    </row>
    <row r="4" spans="1:20" x14ac:dyDescent="0.25">
      <c r="A4" s="164" t="s">
        <v>488</v>
      </c>
      <c r="B4" s="175">
        <f>Progress!F9</f>
        <v>5000</v>
      </c>
      <c r="C4" s="175">
        <f>Progress!F10</f>
        <v>6000</v>
      </c>
      <c r="D4" s="175">
        <f>Progress!F11</f>
        <v>6000</v>
      </c>
      <c r="E4" s="176">
        <f>Progress!F22</f>
        <v>10000</v>
      </c>
      <c r="F4" s="176">
        <f>Progress!F23</f>
        <v>10000</v>
      </c>
      <c r="G4" s="177">
        <f>Progress!F26</f>
        <v>40000</v>
      </c>
      <c r="H4" s="282">
        <f>Progress!F64</f>
        <v>400</v>
      </c>
      <c r="I4" s="283"/>
      <c r="J4" s="282">
        <f>Progress!F66</f>
        <v>500</v>
      </c>
      <c r="K4" s="283"/>
      <c r="L4" s="175">
        <v>400</v>
      </c>
      <c r="M4" s="175">
        <v>400</v>
      </c>
      <c r="N4" s="180">
        <f>' Manpower &amp; Machinery'!H32</f>
        <v>58</v>
      </c>
      <c r="O4" s="180">
        <f>' Manpower &amp; Machinery'!H52</f>
        <v>272</v>
      </c>
    </row>
    <row r="5" spans="1:20" x14ac:dyDescent="0.25">
      <c r="A5" s="174" t="s">
        <v>493</v>
      </c>
      <c r="B5" s="180">
        <f>Progress!H9</f>
        <v>0</v>
      </c>
      <c r="C5" s="180">
        <f>Progress!H10</f>
        <v>0</v>
      </c>
      <c r="D5" s="180">
        <f>Progress!H11</f>
        <v>0</v>
      </c>
      <c r="E5" s="180">
        <f>Progress!H22</f>
        <v>78</v>
      </c>
      <c r="F5" s="180">
        <f>Progress!H23</f>
        <v>274</v>
      </c>
      <c r="G5" s="180">
        <f>Progress!H26</f>
        <v>1728</v>
      </c>
      <c r="H5" s="284">
        <f>Progress!H64</f>
        <v>0</v>
      </c>
      <c r="I5" s="285"/>
      <c r="J5" s="284">
        <f>Progress!H66</f>
        <v>10</v>
      </c>
      <c r="K5" s="285"/>
      <c r="L5" s="188">
        <f>Progress!H67</f>
        <v>7</v>
      </c>
      <c r="M5" s="188">
        <f>Progress!H68</f>
        <v>12</v>
      </c>
      <c r="N5" s="291"/>
      <c r="O5" s="291"/>
    </row>
    <row r="6" spans="1:20" x14ac:dyDescent="0.25">
      <c r="A6" s="174" t="s">
        <v>460</v>
      </c>
      <c r="B6" s="180">
        <f>Progress!I9</f>
        <v>0</v>
      </c>
      <c r="C6" s="180">
        <f>Progress!I10</f>
        <v>3066.93</v>
      </c>
      <c r="D6" s="180">
        <f>Progress!I11</f>
        <v>3066.93</v>
      </c>
      <c r="E6" s="180">
        <f>Progress!I22</f>
        <v>7652</v>
      </c>
      <c r="F6" s="180">
        <f>Progress!I23</f>
        <v>7696.5</v>
      </c>
      <c r="G6" s="180">
        <f>Progress!I26</f>
        <v>37169.880000000005</v>
      </c>
      <c r="H6" s="284">
        <f>Progress!I64</f>
        <v>0</v>
      </c>
      <c r="I6" s="285"/>
      <c r="J6" s="284">
        <f>Progress!I66</f>
        <v>189.6</v>
      </c>
      <c r="K6" s="285"/>
      <c r="L6" s="188">
        <f>Progress!I67</f>
        <v>249.70000000000002</v>
      </c>
      <c r="M6" s="188">
        <f>Progress!I68</f>
        <v>576.69999999999993</v>
      </c>
      <c r="N6" s="291">
        <f>SUM(N4,O4)</f>
        <v>330</v>
      </c>
      <c r="O6" s="291"/>
    </row>
    <row r="7" spans="1:20" x14ac:dyDescent="0.25">
      <c r="A7" s="174" t="s">
        <v>394</v>
      </c>
      <c r="B7" s="175">
        <f>Progress!J9</f>
        <v>95680</v>
      </c>
      <c r="C7" s="175">
        <f>Progress!J10</f>
        <v>52561.93</v>
      </c>
      <c r="D7" s="175">
        <f>Progress!J11</f>
        <v>52561.93</v>
      </c>
      <c r="E7" s="175">
        <f>Progress!J22</f>
        <v>29674</v>
      </c>
      <c r="F7" s="175">
        <f>Progress!J23</f>
        <v>29718.5</v>
      </c>
      <c r="G7" s="175">
        <f>Progress!J26</f>
        <v>183767.88</v>
      </c>
      <c r="H7" s="282">
        <f>Progress!J64</f>
        <v>3383</v>
      </c>
      <c r="I7" s="283"/>
      <c r="J7" s="282">
        <f>Progress!J66</f>
        <v>2349.6999999999998</v>
      </c>
      <c r="K7" s="283"/>
      <c r="L7" s="175">
        <f>Progress!J67</f>
        <v>1707.5</v>
      </c>
      <c r="M7" s="175">
        <f>Progress!J68</f>
        <v>2374.3999999999996</v>
      </c>
      <c r="N7" s="56"/>
      <c r="O7" s="56"/>
    </row>
    <row r="8" spans="1:20" ht="15" customHeight="1" x14ac:dyDescent="0.25">
      <c r="A8" s="286" t="s">
        <v>377</v>
      </c>
      <c r="B8" s="179" t="s">
        <v>384</v>
      </c>
      <c r="C8" s="179">
        <f>' Manpower &amp; Machinery'!E32</f>
        <v>14</v>
      </c>
      <c r="D8" s="179" t="s">
        <v>385</v>
      </c>
      <c r="E8" s="179">
        <f>' Manpower &amp; Machinery'!E52</f>
        <v>149</v>
      </c>
      <c r="F8" s="181"/>
      <c r="G8" s="181"/>
      <c r="H8" s="179" t="s">
        <v>384</v>
      </c>
      <c r="I8" s="179">
        <f>' Manpower &amp; Machinery'!D32</f>
        <v>27</v>
      </c>
      <c r="J8" s="179" t="s">
        <v>385</v>
      </c>
      <c r="K8" s="179">
        <f>' Manpower &amp; Machinery'!D52</f>
        <v>111</v>
      </c>
      <c r="L8" s="179"/>
      <c r="M8" s="179"/>
      <c r="N8" s="56"/>
      <c r="O8" s="56"/>
    </row>
    <row r="9" spans="1:20" x14ac:dyDescent="0.25">
      <c r="A9" s="286"/>
      <c r="B9" s="287" t="s">
        <v>405</v>
      </c>
      <c r="C9" s="288"/>
      <c r="D9" s="288"/>
      <c r="E9" s="288"/>
      <c r="F9" s="288"/>
      <c r="G9" s="289"/>
      <c r="H9" s="290">
        <v>0</v>
      </c>
      <c r="I9" s="290"/>
      <c r="J9" s="290"/>
      <c r="K9" s="290"/>
      <c r="L9" s="290"/>
      <c r="M9" s="290"/>
      <c r="N9" s="56"/>
      <c r="O9" s="56"/>
    </row>
    <row r="14" spans="1:20" x14ac:dyDescent="0.25">
      <c r="T14" s="178"/>
    </row>
  </sheetData>
  <mergeCells count="22">
    <mergeCell ref="A8:A9"/>
    <mergeCell ref="B9:G9"/>
    <mergeCell ref="H9:M9"/>
    <mergeCell ref="N6:O6"/>
    <mergeCell ref="B1:G1"/>
    <mergeCell ref="H1:M1"/>
    <mergeCell ref="N5:O5"/>
    <mergeCell ref="N1:O1"/>
    <mergeCell ref="N2:N3"/>
    <mergeCell ref="O2:O3"/>
    <mergeCell ref="H2:I2"/>
    <mergeCell ref="J2:K2"/>
    <mergeCell ref="H3:I3"/>
    <mergeCell ref="H4:I4"/>
    <mergeCell ref="H5:I5"/>
    <mergeCell ref="H6:I6"/>
    <mergeCell ref="H7:I7"/>
    <mergeCell ref="J3:K3"/>
    <mergeCell ref="J4:K4"/>
    <mergeCell ref="J5:K5"/>
    <mergeCell ref="J6:K6"/>
    <mergeCell ref="J7:K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Progress</vt:lpstr>
      <vt:lpstr> Manpower &amp; Machinery</vt:lpstr>
      <vt:lpstr>Pipe Rack Status</vt:lpstr>
      <vt:lpstr>Pipe Rack Constraint</vt:lpstr>
      <vt:lpstr>Piping Constraint</vt:lpstr>
      <vt:lpstr>Hindrance Register</vt:lpstr>
      <vt:lpstr>Summary</vt:lpstr>
      <vt:lpstr>Sheet1</vt:lpstr>
      <vt:lpstr>' Manpower &amp; Machinery'!Print_Area</vt:lpstr>
      <vt:lpstr>Progress!Print_Area</vt:lpstr>
      <vt:lpstr>'Piping Constraint'!Print_Titles</vt:lpstr>
      <vt:lpstr>Progress!Print_Titles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2021-10-24T05:52:12Z</dcterms:modified>
</cp:coreProperties>
</file>